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d41cc9047a6aa5/Documents/"/>
    </mc:Choice>
  </mc:AlternateContent>
  <xr:revisionPtr revIDLastSave="189" documentId="8_{F7808A7E-7C98-484F-B647-00123095F419}" xr6:coauthVersionLast="47" xr6:coauthVersionMax="47" xr10:uidLastSave="{D31F5014-87C1-4B6F-AAC5-162A0DA0D6B9}"/>
  <bookViews>
    <workbookView xWindow="-108" yWindow="-108" windowWidth="23256" windowHeight="12456" activeTab="1" xr2:uid="{BD7867B0-3E15-43FC-BB76-6854400C175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2" i="1"/>
  <c r="I2" i="1" l="1"/>
  <c r="M121" i="1"/>
  <c r="L121" i="1"/>
  <c r="K121" i="1"/>
  <c r="J121" i="1"/>
  <c r="I121" i="1"/>
  <c r="G121" i="1"/>
  <c r="M120" i="1"/>
  <c r="L120" i="1"/>
  <c r="K120" i="1"/>
  <c r="J120" i="1"/>
  <c r="I120" i="1"/>
  <c r="G120" i="1"/>
  <c r="M119" i="1"/>
  <c r="L119" i="1"/>
  <c r="K119" i="1"/>
  <c r="J119" i="1"/>
  <c r="I119" i="1"/>
  <c r="G119" i="1"/>
  <c r="M118" i="1"/>
  <c r="L118" i="1"/>
  <c r="K118" i="1"/>
  <c r="J118" i="1"/>
  <c r="I118" i="1"/>
  <c r="G118" i="1"/>
  <c r="M117" i="1"/>
  <c r="L117" i="1"/>
  <c r="K117" i="1"/>
  <c r="J117" i="1"/>
  <c r="I117" i="1"/>
  <c r="G117" i="1"/>
  <c r="M116" i="1"/>
  <c r="L116" i="1"/>
  <c r="K116" i="1"/>
  <c r="J116" i="1"/>
  <c r="I116" i="1"/>
  <c r="G116" i="1"/>
  <c r="M115" i="1"/>
  <c r="L115" i="1"/>
  <c r="K115" i="1"/>
  <c r="J115" i="1"/>
  <c r="I115" i="1"/>
  <c r="G115" i="1"/>
  <c r="M114" i="1"/>
  <c r="L114" i="1"/>
  <c r="K114" i="1"/>
  <c r="J114" i="1"/>
  <c r="I114" i="1"/>
  <c r="G114" i="1"/>
  <c r="M113" i="1"/>
  <c r="L113" i="1"/>
  <c r="K113" i="1"/>
  <c r="J113" i="1"/>
  <c r="I113" i="1"/>
  <c r="G113" i="1"/>
  <c r="M112" i="1"/>
  <c r="L112" i="1"/>
  <c r="K112" i="1"/>
  <c r="J112" i="1"/>
  <c r="I112" i="1"/>
  <c r="G112" i="1"/>
  <c r="M111" i="1"/>
  <c r="L111" i="1"/>
  <c r="K111" i="1"/>
  <c r="J111" i="1"/>
  <c r="I111" i="1"/>
  <c r="G111" i="1"/>
  <c r="M110" i="1"/>
  <c r="L110" i="1"/>
  <c r="K110" i="1"/>
  <c r="J110" i="1"/>
  <c r="I110" i="1"/>
  <c r="G110" i="1"/>
  <c r="M109" i="1"/>
  <c r="L109" i="1"/>
  <c r="K109" i="1"/>
  <c r="J109" i="1"/>
  <c r="I109" i="1"/>
  <c r="G109" i="1"/>
  <c r="M108" i="1"/>
  <c r="L108" i="1"/>
  <c r="K108" i="1"/>
  <c r="J108" i="1"/>
  <c r="I108" i="1"/>
  <c r="G108" i="1"/>
  <c r="M107" i="1"/>
  <c r="L107" i="1"/>
  <c r="K107" i="1"/>
  <c r="J107" i="1"/>
  <c r="I107" i="1"/>
  <c r="G107" i="1"/>
  <c r="M106" i="1"/>
  <c r="L106" i="1"/>
  <c r="K106" i="1"/>
  <c r="J106" i="1"/>
  <c r="I106" i="1"/>
  <c r="G106" i="1"/>
  <c r="M105" i="1"/>
  <c r="L105" i="1"/>
  <c r="K105" i="1"/>
  <c r="J105" i="1"/>
  <c r="I105" i="1"/>
  <c r="G105" i="1"/>
  <c r="M104" i="1"/>
  <c r="L104" i="1"/>
  <c r="K104" i="1"/>
  <c r="J104" i="1"/>
  <c r="I104" i="1"/>
  <c r="G104" i="1"/>
  <c r="M103" i="1"/>
  <c r="L103" i="1"/>
  <c r="K103" i="1"/>
  <c r="J103" i="1"/>
  <c r="I103" i="1"/>
  <c r="G103" i="1"/>
  <c r="M102" i="1"/>
  <c r="L102" i="1"/>
  <c r="K102" i="1"/>
  <c r="J102" i="1"/>
  <c r="I102" i="1"/>
  <c r="G102" i="1"/>
  <c r="M101" i="1"/>
  <c r="L101" i="1"/>
  <c r="K101" i="1"/>
  <c r="J101" i="1"/>
  <c r="I101" i="1"/>
  <c r="G101" i="1"/>
  <c r="M100" i="1"/>
  <c r="L100" i="1"/>
  <c r="K100" i="1"/>
  <c r="J100" i="1"/>
  <c r="I100" i="1"/>
  <c r="G100" i="1"/>
  <c r="M99" i="1"/>
  <c r="L99" i="1"/>
  <c r="K99" i="1"/>
  <c r="J99" i="1"/>
  <c r="I99" i="1"/>
  <c r="G99" i="1"/>
  <c r="M98" i="1"/>
  <c r="L98" i="1"/>
  <c r="K98" i="1"/>
  <c r="J98" i="1"/>
  <c r="I98" i="1"/>
  <c r="G98" i="1"/>
  <c r="M97" i="1"/>
  <c r="L97" i="1"/>
  <c r="K97" i="1"/>
  <c r="J97" i="1"/>
  <c r="I97" i="1"/>
  <c r="G97" i="1"/>
  <c r="M96" i="1"/>
  <c r="L96" i="1"/>
  <c r="K96" i="1"/>
  <c r="J96" i="1"/>
  <c r="I96" i="1"/>
  <c r="G96" i="1"/>
  <c r="M95" i="1"/>
  <c r="L95" i="1"/>
  <c r="K95" i="1"/>
  <c r="J95" i="1"/>
  <c r="I95" i="1"/>
  <c r="G95" i="1"/>
  <c r="M94" i="1"/>
  <c r="L94" i="1"/>
  <c r="K94" i="1"/>
  <c r="J94" i="1"/>
  <c r="I94" i="1"/>
  <c r="G94" i="1"/>
  <c r="M93" i="1"/>
  <c r="L93" i="1"/>
  <c r="K93" i="1"/>
  <c r="J93" i="1"/>
  <c r="I93" i="1"/>
  <c r="G93" i="1"/>
  <c r="M92" i="1"/>
  <c r="L92" i="1"/>
  <c r="K92" i="1"/>
  <c r="J92" i="1"/>
  <c r="I92" i="1"/>
  <c r="G92" i="1"/>
  <c r="M91" i="1"/>
  <c r="L91" i="1"/>
  <c r="K91" i="1"/>
  <c r="J91" i="1"/>
  <c r="I91" i="1"/>
  <c r="G91" i="1"/>
  <c r="M90" i="1"/>
  <c r="L90" i="1"/>
  <c r="K90" i="1"/>
  <c r="J90" i="1"/>
  <c r="I90" i="1"/>
  <c r="G90" i="1"/>
  <c r="M89" i="1"/>
  <c r="L89" i="1"/>
  <c r="K89" i="1"/>
  <c r="J89" i="1"/>
  <c r="I89" i="1"/>
  <c r="G89" i="1"/>
  <c r="M88" i="1"/>
  <c r="L88" i="1"/>
  <c r="K88" i="1"/>
  <c r="J88" i="1"/>
  <c r="I88" i="1"/>
  <c r="G88" i="1"/>
  <c r="M87" i="1"/>
  <c r="L87" i="1"/>
  <c r="K87" i="1"/>
  <c r="J87" i="1"/>
  <c r="I87" i="1"/>
  <c r="G87" i="1"/>
  <c r="M86" i="1"/>
  <c r="L86" i="1"/>
  <c r="K86" i="1"/>
  <c r="J86" i="1"/>
  <c r="I86" i="1"/>
  <c r="G86" i="1"/>
  <c r="M85" i="1"/>
  <c r="L85" i="1"/>
  <c r="K85" i="1"/>
  <c r="J85" i="1"/>
  <c r="I85" i="1"/>
  <c r="G85" i="1"/>
  <c r="M84" i="1"/>
  <c r="L84" i="1"/>
  <c r="K84" i="1"/>
  <c r="J84" i="1"/>
  <c r="I84" i="1"/>
  <c r="G84" i="1"/>
  <c r="M83" i="1"/>
  <c r="L83" i="1"/>
  <c r="K83" i="1"/>
  <c r="J83" i="1"/>
  <c r="I83" i="1"/>
  <c r="G83" i="1"/>
  <c r="M82" i="1"/>
  <c r="L82" i="1"/>
  <c r="K82" i="1"/>
  <c r="J82" i="1"/>
  <c r="I82" i="1"/>
  <c r="G82" i="1"/>
  <c r="M81" i="1"/>
  <c r="L81" i="1"/>
  <c r="K81" i="1"/>
  <c r="J81" i="1"/>
  <c r="I81" i="1"/>
  <c r="G81" i="1"/>
  <c r="M80" i="1"/>
  <c r="L80" i="1"/>
  <c r="K80" i="1"/>
  <c r="J80" i="1"/>
  <c r="I80" i="1"/>
  <c r="G80" i="1"/>
  <c r="M79" i="1"/>
  <c r="L79" i="1"/>
  <c r="K79" i="1"/>
  <c r="J79" i="1"/>
  <c r="I79" i="1"/>
  <c r="G79" i="1"/>
  <c r="M78" i="1"/>
  <c r="L78" i="1"/>
  <c r="K78" i="1"/>
  <c r="J78" i="1"/>
  <c r="I78" i="1"/>
  <c r="G78" i="1"/>
  <c r="M77" i="1"/>
  <c r="L77" i="1"/>
  <c r="K77" i="1"/>
  <c r="J77" i="1"/>
  <c r="I77" i="1"/>
  <c r="G77" i="1"/>
  <c r="M76" i="1"/>
  <c r="L76" i="1"/>
  <c r="K76" i="1"/>
  <c r="J76" i="1"/>
  <c r="I76" i="1"/>
  <c r="G76" i="1"/>
  <c r="M75" i="1"/>
  <c r="L75" i="1"/>
  <c r="K75" i="1"/>
  <c r="J75" i="1"/>
  <c r="I75" i="1"/>
  <c r="G75" i="1"/>
  <c r="M74" i="1"/>
  <c r="L74" i="1"/>
  <c r="K74" i="1"/>
  <c r="J74" i="1"/>
  <c r="I74" i="1"/>
  <c r="G74" i="1"/>
  <c r="M73" i="1"/>
  <c r="L73" i="1"/>
  <c r="K73" i="1"/>
  <c r="J73" i="1"/>
  <c r="I73" i="1"/>
  <c r="G73" i="1"/>
  <c r="M72" i="1"/>
  <c r="L72" i="1"/>
  <c r="K72" i="1"/>
  <c r="J72" i="1"/>
  <c r="I72" i="1"/>
  <c r="G72" i="1"/>
  <c r="M71" i="1"/>
  <c r="L71" i="1"/>
  <c r="K71" i="1"/>
  <c r="J71" i="1"/>
  <c r="I71" i="1"/>
  <c r="G71" i="1"/>
  <c r="M70" i="1"/>
  <c r="L70" i="1"/>
  <c r="K70" i="1"/>
  <c r="J70" i="1"/>
  <c r="I70" i="1"/>
  <c r="G70" i="1"/>
  <c r="M69" i="1"/>
  <c r="L69" i="1"/>
  <c r="K69" i="1"/>
  <c r="J69" i="1"/>
  <c r="I69" i="1"/>
  <c r="G69" i="1"/>
  <c r="M68" i="1"/>
  <c r="L68" i="1"/>
  <c r="K68" i="1"/>
  <c r="J68" i="1"/>
  <c r="I68" i="1"/>
  <c r="G68" i="1"/>
  <c r="M67" i="1"/>
  <c r="L67" i="1"/>
  <c r="K67" i="1"/>
  <c r="J67" i="1"/>
  <c r="I67" i="1"/>
  <c r="G67" i="1"/>
  <c r="M66" i="1"/>
  <c r="L66" i="1"/>
  <c r="K66" i="1"/>
  <c r="J66" i="1"/>
  <c r="I66" i="1"/>
  <c r="G66" i="1"/>
  <c r="M65" i="1"/>
  <c r="L65" i="1"/>
  <c r="K65" i="1"/>
  <c r="J65" i="1"/>
  <c r="I65" i="1"/>
  <c r="G65" i="1"/>
  <c r="M64" i="1"/>
  <c r="L64" i="1"/>
  <c r="K64" i="1"/>
  <c r="J64" i="1"/>
  <c r="I64" i="1"/>
  <c r="G64" i="1"/>
  <c r="M63" i="1"/>
  <c r="L63" i="1"/>
  <c r="K63" i="1"/>
  <c r="J63" i="1"/>
  <c r="I63" i="1"/>
  <c r="G63" i="1"/>
  <c r="M62" i="1"/>
  <c r="L62" i="1"/>
  <c r="K62" i="1"/>
  <c r="J62" i="1"/>
  <c r="I62" i="1"/>
  <c r="G62" i="1"/>
  <c r="M61" i="1"/>
  <c r="L61" i="1"/>
  <c r="K61" i="1"/>
  <c r="J61" i="1"/>
  <c r="I61" i="1"/>
  <c r="G61" i="1"/>
  <c r="M60" i="1"/>
  <c r="L60" i="1"/>
  <c r="K60" i="1"/>
  <c r="J60" i="1"/>
  <c r="I60" i="1"/>
  <c r="G60" i="1"/>
  <c r="M59" i="1"/>
  <c r="L59" i="1"/>
  <c r="K59" i="1"/>
  <c r="J59" i="1"/>
  <c r="I59" i="1"/>
  <c r="G59" i="1"/>
  <c r="M58" i="1"/>
  <c r="L58" i="1"/>
  <c r="K58" i="1"/>
  <c r="J58" i="1"/>
  <c r="I58" i="1"/>
  <c r="G58" i="1"/>
  <c r="M57" i="1"/>
  <c r="L57" i="1"/>
  <c r="K57" i="1"/>
  <c r="J57" i="1"/>
  <c r="I57" i="1"/>
  <c r="G57" i="1"/>
  <c r="M56" i="1"/>
  <c r="L56" i="1"/>
  <c r="K56" i="1"/>
  <c r="J56" i="1"/>
  <c r="I56" i="1"/>
  <c r="G56" i="1"/>
  <c r="M55" i="1"/>
  <c r="L55" i="1"/>
  <c r="K55" i="1"/>
  <c r="J55" i="1"/>
  <c r="I55" i="1"/>
  <c r="G55" i="1"/>
  <c r="M54" i="1"/>
  <c r="L54" i="1"/>
  <c r="K54" i="1"/>
  <c r="J54" i="1"/>
  <c r="I54" i="1"/>
  <c r="G54" i="1"/>
  <c r="M53" i="1"/>
  <c r="L53" i="1"/>
  <c r="K53" i="1"/>
  <c r="J53" i="1"/>
  <c r="I53" i="1"/>
  <c r="G53" i="1"/>
  <c r="M52" i="1"/>
  <c r="L52" i="1"/>
  <c r="K52" i="1"/>
  <c r="J52" i="1"/>
  <c r="I52" i="1"/>
  <c r="G52" i="1"/>
  <c r="M51" i="1"/>
  <c r="L51" i="1"/>
  <c r="K51" i="1"/>
  <c r="J51" i="1"/>
  <c r="I51" i="1"/>
  <c r="G51" i="1"/>
  <c r="M50" i="1"/>
  <c r="L50" i="1"/>
  <c r="K50" i="1"/>
  <c r="J50" i="1"/>
  <c r="I50" i="1"/>
  <c r="G50" i="1"/>
  <c r="M49" i="1"/>
  <c r="L49" i="1"/>
  <c r="K49" i="1"/>
  <c r="J49" i="1"/>
  <c r="I49" i="1"/>
  <c r="G49" i="1"/>
  <c r="M48" i="1"/>
  <c r="L48" i="1"/>
  <c r="K48" i="1"/>
  <c r="J48" i="1"/>
  <c r="I48" i="1"/>
  <c r="G48" i="1"/>
  <c r="M47" i="1"/>
  <c r="L47" i="1"/>
  <c r="K47" i="1"/>
  <c r="J47" i="1"/>
  <c r="I47" i="1"/>
  <c r="G47" i="1"/>
  <c r="M46" i="1"/>
  <c r="L46" i="1"/>
  <c r="K46" i="1"/>
  <c r="J46" i="1"/>
  <c r="I46" i="1"/>
  <c r="G46" i="1"/>
  <c r="M45" i="1"/>
  <c r="L45" i="1"/>
  <c r="K45" i="1"/>
  <c r="J45" i="1"/>
  <c r="I45" i="1"/>
  <c r="G45" i="1"/>
  <c r="M44" i="1"/>
  <c r="L44" i="1"/>
  <c r="K44" i="1"/>
  <c r="J44" i="1"/>
  <c r="I44" i="1"/>
  <c r="G44" i="1"/>
  <c r="M43" i="1"/>
  <c r="L43" i="1"/>
  <c r="K43" i="1"/>
  <c r="J43" i="1"/>
  <c r="I43" i="1"/>
  <c r="G43" i="1"/>
  <c r="M42" i="1"/>
  <c r="L42" i="1"/>
  <c r="K42" i="1"/>
  <c r="J42" i="1"/>
  <c r="I42" i="1"/>
  <c r="G42" i="1"/>
  <c r="M41" i="1"/>
  <c r="L41" i="1"/>
  <c r="K41" i="1"/>
  <c r="J41" i="1"/>
  <c r="I41" i="1"/>
  <c r="G41" i="1"/>
  <c r="M40" i="1"/>
  <c r="L40" i="1"/>
  <c r="K40" i="1"/>
  <c r="J40" i="1"/>
  <c r="I40" i="1"/>
  <c r="G40" i="1"/>
  <c r="M39" i="1"/>
  <c r="L39" i="1"/>
  <c r="K39" i="1"/>
  <c r="J39" i="1"/>
  <c r="I39" i="1"/>
  <c r="G39" i="1"/>
  <c r="M38" i="1"/>
  <c r="L38" i="1"/>
  <c r="K38" i="1"/>
  <c r="J38" i="1"/>
  <c r="I38" i="1"/>
  <c r="G38" i="1"/>
  <c r="M37" i="1"/>
  <c r="L37" i="1"/>
  <c r="K37" i="1"/>
  <c r="J37" i="1"/>
  <c r="I37" i="1"/>
  <c r="G37" i="1"/>
  <c r="M36" i="1"/>
  <c r="L36" i="1"/>
  <c r="K36" i="1"/>
  <c r="J36" i="1"/>
  <c r="I36" i="1"/>
  <c r="G36" i="1"/>
  <c r="M35" i="1"/>
  <c r="L35" i="1"/>
  <c r="K35" i="1"/>
  <c r="J35" i="1"/>
  <c r="I35" i="1"/>
  <c r="G35" i="1"/>
  <c r="M34" i="1"/>
  <c r="L34" i="1"/>
  <c r="K34" i="1"/>
  <c r="J34" i="1"/>
  <c r="I34" i="1"/>
  <c r="G34" i="1"/>
  <c r="M33" i="1"/>
  <c r="L33" i="1"/>
  <c r="K33" i="1"/>
  <c r="J33" i="1"/>
  <c r="I33" i="1"/>
  <c r="G33" i="1"/>
  <c r="M32" i="1"/>
  <c r="L32" i="1"/>
  <c r="K32" i="1"/>
  <c r="J32" i="1"/>
  <c r="I32" i="1"/>
  <c r="G32" i="1"/>
  <c r="M31" i="1"/>
  <c r="L31" i="1"/>
  <c r="K31" i="1"/>
  <c r="J31" i="1"/>
  <c r="I31" i="1"/>
  <c r="G31" i="1"/>
  <c r="M30" i="1"/>
  <c r="L30" i="1"/>
  <c r="K30" i="1"/>
  <c r="J30" i="1"/>
  <c r="I30" i="1"/>
  <c r="G30" i="1"/>
  <c r="M29" i="1"/>
  <c r="L29" i="1"/>
  <c r="K29" i="1"/>
  <c r="J29" i="1"/>
  <c r="I29" i="1"/>
  <c r="G29" i="1"/>
  <c r="M28" i="1"/>
  <c r="L28" i="1"/>
  <c r="K28" i="1"/>
  <c r="J28" i="1"/>
  <c r="I28" i="1"/>
  <c r="G28" i="1"/>
  <c r="M27" i="1"/>
  <c r="L27" i="1"/>
  <c r="K27" i="1"/>
  <c r="J27" i="1"/>
  <c r="I27" i="1"/>
  <c r="G27" i="1"/>
  <c r="M26" i="1"/>
  <c r="L26" i="1"/>
  <c r="K26" i="1"/>
  <c r="J26" i="1"/>
  <c r="I26" i="1"/>
  <c r="G26" i="1"/>
  <c r="M25" i="1"/>
  <c r="L25" i="1"/>
  <c r="K25" i="1"/>
  <c r="J25" i="1"/>
  <c r="I25" i="1"/>
  <c r="G25" i="1"/>
  <c r="M24" i="1"/>
  <c r="L24" i="1"/>
  <c r="K24" i="1"/>
  <c r="J24" i="1"/>
  <c r="I24" i="1"/>
  <c r="G24" i="1"/>
  <c r="M23" i="1"/>
  <c r="L23" i="1"/>
  <c r="K23" i="1"/>
  <c r="J23" i="1"/>
  <c r="I23" i="1"/>
  <c r="G23" i="1"/>
  <c r="M22" i="1"/>
  <c r="L22" i="1"/>
  <c r="K22" i="1"/>
  <c r="J22" i="1"/>
  <c r="I22" i="1"/>
  <c r="G22" i="1"/>
  <c r="M21" i="1"/>
  <c r="L21" i="1"/>
  <c r="K21" i="1"/>
  <c r="J21" i="1"/>
  <c r="I21" i="1"/>
  <c r="G21" i="1"/>
  <c r="M20" i="1"/>
  <c r="L20" i="1"/>
  <c r="K20" i="1"/>
  <c r="J20" i="1"/>
  <c r="I20" i="1"/>
  <c r="G20" i="1"/>
  <c r="M19" i="1"/>
  <c r="L19" i="1"/>
  <c r="K19" i="1"/>
  <c r="J19" i="1"/>
  <c r="I19" i="1"/>
  <c r="G19" i="1"/>
  <c r="M18" i="1"/>
  <c r="L18" i="1"/>
  <c r="K18" i="1"/>
  <c r="J18" i="1"/>
  <c r="I18" i="1"/>
  <c r="G18" i="1"/>
  <c r="M17" i="1"/>
  <c r="L17" i="1"/>
  <c r="K17" i="1"/>
  <c r="J17" i="1"/>
  <c r="I17" i="1"/>
  <c r="G17" i="1"/>
  <c r="M16" i="1"/>
  <c r="L16" i="1"/>
  <c r="K16" i="1"/>
  <c r="J16" i="1"/>
  <c r="I16" i="1"/>
  <c r="G16" i="1"/>
  <c r="M15" i="1"/>
  <c r="L15" i="1"/>
  <c r="K15" i="1"/>
  <c r="J15" i="1"/>
  <c r="I15" i="1"/>
  <c r="G15" i="1"/>
  <c r="M14" i="1"/>
  <c r="L14" i="1"/>
  <c r="K14" i="1"/>
  <c r="J14" i="1"/>
  <c r="I14" i="1"/>
  <c r="G14" i="1"/>
  <c r="M13" i="1"/>
  <c r="L13" i="1"/>
  <c r="K13" i="1"/>
  <c r="J13" i="1"/>
  <c r="I13" i="1"/>
  <c r="G13" i="1"/>
  <c r="M12" i="1"/>
  <c r="L12" i="1"/>
  <c r="K12" i="1"/>
  <c r="J12" i="1"/>
  <c r="I12" i="1"/>
  <c r="G12" i="1"/>
  <c r="M11" i="1"/>
  <c r="L11" i="1"/>
  <c r="K11" i="1"/>
  <c r="J11" i="1"/>
  <c r="I11" i="1"/>
  <c r="G11" i="1"/>
  <c r="M10" i="1"/>
  <c r="L10" i="1"/>
  <c r="K10" i="1"/>
  <c r="J10" i="1"/>
  <c r="I10" i="1"/>
  <c r="G10" i="1"/>
  <c r="M9" i="1"/>
  <c r="L9" i="1"/>
  <c r="K9" i="1"/>
  <c r="J9" i="1"/>
  <c r="I9" i="1"/>
  <c r="G9" i="1"/>
  <c r="M8" i="1"/>
  <c r="L8" i="1"/>
  <c r="K8" i="1"/>
  <c r="J8" i="1"/>
  <c r="I8" i="1"/>
  <c r="G8" i="1"/>
  <c r="M7" i="1"/>
  <c r="L7" i="1"/>
  <c r="K7" i="1"/>
  <c r="J7" i="1"/>
  <c r="I7" i="1"/>
  <c r="G7" i="1"/>
  <c r="M6" i="1"/>
  <c r="L6" i="1"/>
  <c r="K6" i="1"/>
  <c r="J6" i="1"/>
  <c r="I6" i="1"/>
  <c r="G6" i="1"/>
  <c r="M5" i="1"/>
  <c r="L5" i="1"/>
  <c r="K5" i="1"/>
  <c r="J5" i="1"/>
  <c r="I5" i="1"/>
  <c r="G5" i="1"/>
  <c r="M4" i="1"/>
  <c r="L4" i="1"/>
  <c r="K4" i="1"/>
  <c r="J4" i="1"/>
  <c r="I4" i="1"/>
  <c r="G4" i="1"/>
  <c r="M3" i="1"/>
  <c r="L3" i="1"/>
  <c r="K3" i="1"/>
  <c r="J3" i="1"/>
  <c r="I3" i="1"/>
  <c r="G3" i="1"/>
  <c r="M2" i="1"/>
  <c r="L2" i="1"/>
  <c r="K2" i="1"/>
  <c r="J2" i="1"/>
  <c r="G2" i="1"/>
</calcChain>
</file>

<file path=xl/sharedStrings.xml><?xml version="1.0" encoding="utf-8"?>
<sst xmlns="http://schemas.openxmlformats.org/spreadsheetml/2006/main" count="57" uniqueCount="44">
  <si>
    <t>People</t>
  </si>
  <si>
    <t>Fans</t>
  </si>
  <si>
    <t>Lights</t>
  </si>
  <si>
    <t>Appliances</t>
  </si>
  <si>
    <t>Usage_Hours</t>
  </si>
  <si>
    <t>Temperature</t>
  </si>
  <si>
    <t>usage_load</t>
  </si>
  <si>
    <t>unit_per_person</t>
  </si>
  <si>
    <t>unit consumed</t>
  </si>
  <si>
    <t>temp_load</t>
  </si>
  <si>
    <t>appliances_per_load</t>
  </si>
  <si>
    <t>row_number</t>
  </si>
  <si>
    <t>RANDOM</t>
  </si>
  <si>
    <t>bill amt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</si>
  <si>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</si>
  <si>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</si>
  <si>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</si>
  <si>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</si>
  <si>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</si>
  <si>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</si>
  <si>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</si>
  <si>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</si>
  <si>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</si>
  <si>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</si>
  <si>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</si>
  <si>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</si>
  <si>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</si>
  <si>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</si>
  <si>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</si>
  <si>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</si>
  <si>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</si>
  <si>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</si>
  <si>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</si>
  <si>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</si>
  <si>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</si>
  <si>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</si>
  <si>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</si>
  <si>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</si>
  <si>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</si>
  <si>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</si>
  <si>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bill amt</t>
  </si>
  <si>
    <t>Residuals</t>
  </si>
  <si>
    <t>error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</si>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</sst>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top"/>
    </xf>
    <xf numFmtId="1" fontId="0" fillId="0" borderId="0" xfId="0" applyNumberFormat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D4D9-55CA-4169-BFB7-9C8047C106FC}">
  <dimension ref="A1:I154"/>
  <sheetViews>
    <sheetView workbookViewId="0">
      <selection activeCell="A28" sqref="A28"/>
    </sheetView>
  </sheetViews>
  <sheetFormatPr defaultRowHeight="14.4" x14ac:dyDescent="0.3"/>
  <sheetData>
    <row r="1" spans="1:9" x14ac:dyDescent="0.3">
      <c r="A1" t="s">
        <v>14</v>
      </c>
    </row>
    <row r="2" spans="1:9" ht="15" thickBot="1" x14ac:dyDescent="0.35"/>
    <row r="3" spans="1:9" x14ac:dyDescent="0.3">
      <c r="A3" s="10" t="s">
        <v>15</v>
      </c>
      <c r="B3" s="10"/>
    </row>
    <row r="4" spans="1:9" x14ac:dyDescent="0.3">
      <c r="A4" t="s">
        <v>16</v>
      </c>
      <c r="B4">
        <v>0.99216283395893368</v>
      </c>
    </row>
    <row r="5" spans="1:9" x14ac:dyDescent="0.3">
      <c r="A5" t="s">
        <v>17</v>
      </c>
      <c r="B5">
        <v>0.98438708908942263</v>
      </c>
    </row>
    <row r="6" spans="1:9" x14ac:dyDescent="0.3">
      <c r="A6" t="s">
        <v>18</v>
      </c>
      <c r="B6">
        <v>0.95623480722199372</v>
      </c>
    </row>
    <row r="7" spans="1:9" x14ac:dyDescent="0.3">
      <c r="A7" t="s">
        <v>19</v>
      </c>
      <c r="B7">
        <v>40.717869373829863</v>
      </c>
    </row>
    <row r="8" spans="1:9" ht="15" thickBot="1" x14ac:dyDescent="0.35">
      <c r="A8" s="8" t="s">
        <v>20</v>
      </c>
      <c r="B8" s="8">
        <v>120</v>
      </c>
    </row>
    <row r="10" spans="1:9" ht="15" thickBot="1" x14ac:dyDescent="0.35">
      <c r="A10" t="s">
        <v>21</v>
      </c>
    </row>
    <row r="11" spans="1:9" x14ac:dyDescent="0.3">
      <c r="A11" s="9"/>
      <c r="B11" s="9" t="s">
        <v>26</v>
      </c>
      <c r="C11" s="9" t="s">
        <v>27</v>
      </c>
      <c r="D11" s="9" t="s">
        <v>28</v>
      </c>
      <c r="E11" s="9" t="s">
        <v>29</v>
      </c>
      <c r="F11" s="9" t="s">
        <v>30</v>
      </c>
    </row>
    <row r="12" spans="1:9" x14ac:dyDescent="0.3">
      <c r="A12" t="s">
        <v>22</v>
      </c>
      <c r="B12">
        <v>11</v>
      </c>
      <c r="C12">
        <v>11603128.33637665</v>
      </c>
      <c r="D12">
        <v>1054829.8487615136</v>
      </c>
      <c r="E12">
        <v>874.81257911121395</v>
      </c>
      <c r="F12">
        <v>3.9501885062324427E-100</v>
      </c>
    </row>
    <row r="13" spans="1:9" x14ac:dyDescent="0.3">
      <c r="A13" t="s">
        <v>23</v>
      </c>
      <c r="B13">
        <v>111</v>
      </c>
      <c r="C13">
        <v>184031.8823842142</v>
      </c>
      <c r="D13">
        <v>1657.9448863442722</v>
      </c>
    </row>
    <row r="14" spans="1:9" ht="15" thickBot="1" x14ac:dyDescent="0.35">
      <c r="A14" s="8" t="s">
        <v>24</v>
      </c>
      <c r="B14" s="8">
        <v>122</v>
      </c>
      <c r="C14" s="8">
        <v>11787160.218760865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31</v>
      </c>
      <c r="C16" s="9" t="s">
        <v>19</v>
      </c>
      <c r="D16" s="9" t="s">
        <v>32</v>
      </c>
      <c r="E16" s="9" t="s">
        <v>33</v>
      </c>
      <c r="F16" s="9" t="s">
        <v>34</v>
      </c>
      <c r="G16" s="9" t="s">
        <v>35</v>
      </c>
      <c r="H16" s="9" t="s">
        <v>36</v>
      </c>
      <c r="I16" s="9" t="s">
        <v>37</v>
      </c>
    </row>
    <row r="17" spans="1:9" x14ac:dyDescent="0.3">
      <c r="A17" t="s">
        <v>25</v>
      </c>
      <c r="B17">
        <v>-57.531639621903651</v>
      </c>
      <c r="C17">
        <v>52.915927175961137</v>
      </c>
      <c r="D17">
        <v>-1.0872272809393266</v>
      </c>
      <c r="E17">
        <v>0.27929161336439812</v>
      </c>
      <c r="F17">
        <v>-162.38808183358458</v>
      </c>
      <c r="G17">
        <v>47.324802589777278</v>
      </c>
      <c r="H17">
        <v>-162.38808183358458</v>
      </c>
      <c r="I17">
        <v>47.324802589777278</v>
      </c>
    </row>
    <row r="18" spans="1:9" x14ac:dyDescent="0.3">
      <c r="A18" t="s">
        <v>0</v>
      </c>
      <c r="B18">
        <v>-36.715018115140381</v>
      </c>
      <c r="C18">
        <v>7.399132277231466</v>
      </c>
      <c r="D18">
        <v>-4.9620707860730455</v>
      </c>
      <c r="E18">
        <v>2.5350684178028125E-6</v>
      </c>
      <c r="F18">
        <v>-51.376892666902165</v>
      </c>
      <c r="G18">
        <v>-22.053143563378597</v>
      </c>
      <c r="H18">
        <v>-51.376892666902165</v>
      </c>
      <c r="I18">
        <v>-22.053143563378597</v>
      </c>
    </row>
    <row r="19" spans="1:9" x14ac:dyDescent="0.3">
      <c r="A19" t="s">
        <v>1</v>
      </c>
      <c r="B19">
        <v>-26.440813882677993</v>
      </c>
      <c r="C19">
        <v>7.3050102828401604</v>
      </c>
      <c r="D19">
        <v>-3.6195450600239134</v>
      </c>
      <c r="E19">
        <v>4.4603913190764194E-4</v>
      </c>
      <c r="F19">
        <v>-40.916179419244372</v>
      </c>
      <c r="G19">
        <v>-11.965448346111613</v>
      </c>
      <c r="H19">
        <v>-40.916179419244372</v>
      </c>
      <c r="I19">
        <v>-11.965448346111613</v>
      </c>
    </row>
    <row r="20" spans="1:9" x14ac:dyDescent="0.3">
      <c r="A20" t="s">
        <v>2</v>
      </c>
      <c r="B20">
        <v>-1.9264569716899407</v>
      </c>
      <c r="C20">
        <v>1.7804861481000631</v>
      </c>
      <c r="D20">
        <v>-1.0819836895365018</v>
      </c>
      <c r="E20">
        <v>0.28160474572661048</v>
      </c>
      <c r="F20">
        <v>-5.4546091341973648</v>
      </c>
      <c r="G20">
        <v>1.6016951908174832</v>
      </c>
      <c r="H20">
        <v>-5.4546091341973648</v>
      </c>
      <c r="I20">
        <v>1.6016951908174832</v>
      </c>
    </row>
    <row r="21" spans="1:9" x14ac:dyDescent="0.3">
      <c r="A21" t="s">
        <v>3</v>
      </c>
      <c r="B21">
        <v>-61.223167221061303</v>
      </c>
      <c r="C21">
        <v>7.2541028725022816</v>
      </c>
      <c r="D21">
        <v>-8.4397985935843973</v>
      </c>
      <c r="E21">
        <v>1.3411433425477924E-13</v>
      </c>
      <c r="F21">
        <v>-75.597656325613372</v>
      </c>
      <c r="G21">
        <v>-46.848678116509227</v>
      </c>
      <c r="H21">
        <v>-75.597656325613372</v>
      </c>
      <c r="I21">
        <v>-46.848678116509227</v>
      </c>
    </row>
    <row r="22" spans="1:9" x14ac:dyDescent="0.3">
      <c r="A22" t="s">
        <v>4</v>
      </c>
      <c r="B22">
        <v>-43.68415450304002</v>
      </c>
      <c r="C22">
        <v>4.5576648814777112</v>
      </c>
      <c r="D22">
        <v>-9.5847666818532087</v>
      </c>
      <c r="E22">
        <v>3.2426518624978106E-16</v>
      </c>
      <c r="F22">
        <v>-52.715471722063967</v>
      </c>
      <c r="G22">
        <v>-34.652837284016073</v>
      </c>
      <c r="H22">
        <v>-52.715471722063967</v>
      </c>
      <c r="I22">
        <v>-34.652837284016073</v>
      </c>
    </row>
    <row r="23" spans="1:9" x14ac:dyDescent="0.3">
      <c r="A23" t="s">
        <v>5</v>
      </c>
      <c r="B23">
        <v>-1.2407046128007566</v>
      </c>
      <c r="C23">
        <v>1.1033257884208927</v>
      </c>
      <c r="D23">
        <v>-1.1245133811079355</v>
      </c>
      <c r="E23">
        <v>0.26322117062875361</v>
      </c>
      <c r="F23">
        <v>-3.4270183173590532</v>
      </c>
      <c r="G23">
        <v>0.94560909175754015</v>
      </c>
      <c r="H23">
        <v>-3.4270183173590532</v>
      </c>
      <c r="I23">
        <v>0.94560909175754015</v>
      </c>
    </row>
    <row r="24" spans="1:9" x14ac:dyDescent="0.3">
      <c r="A24" t="s">
        <v>6</v>
      </c>
      <c r="B24">
        <v>-0.82226557579077053</v>
      </c>
      <c r="C24">
        <v>2.2216295563407353</v>
      </c>
      <c r="D24">
        <v>-0.37011821950421431</v>
      </c>
      <c r="E24">
        <v>0.71199967741617565</v>
      </c>
      <c r="F24">
        <v>-5.224572851170632</v>
      </c>
      <c r="G24">
        <v>3.5800416995890911</v>
      </c>
      <c r="H24">
        <v>-5.224572851170632</v>
      </c>
      <c r="I24">
        <v>3.5800416995890911</v>
      </c>
    </row>
    <row r="25" spans="1:9" x14ac:dyDescent="0.3">
      <c r="A25" t="s">
        <v>7</v>
      </c>
      <c r="B25">
        <v>0</v>
      </c>
      <c r="C25">
        <v>0</v>
      </c>
      <c r="D25">
        <v>65535</v>
      </c>
      <c r="E25" t="e">
        <v>#NUM!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8</v>
      </c>
      <c r="B26">
        <v>5.6654586866768692</v>
      </c>
      <c r="C26">
        <v>0.45010245407124511</v>
      </c>
      <c r="D26">
        <v>12.587042428744688</v>
      </c>
      <c r="E26" t="e">
        <v>#NUM!</v>
      </c>
      <c r="F26">
        <v>4.773550626411458</v>
      </c>
      <c r="G26">
        <v>6.5573667469422805</v>
      </c>
      <c r="H26">
        <v>4.773550626411458</v>
      </c>
      <c r="I26">
        <v>6.5573667469422805</v>
      </c>
    </row>
    <row r="27" spans="1:9" x14ac:dyDescent="0.3">
      <c r="A27" t="s">
        <v>9</v>
      </c>
      <c r="B27">
        <v>0</v>
      </c>
      <c r="C27">
        <v>0</v>
      </c>
      <c r="D27">
        <v>65535</v>
      </c>
      <c r="E27" t="e">
        <v>#NUM!</v>
      </c>
      <c r="F27">
        <v>0</v>
      </c>
      <c r="G27">
        <v>0</v>
      </c>
      <c r="H27">
        <v>0</v>
      </c>
      <c r="I27">
        <v>0</v>
      </c>
    </row>
    <row r="28" spans="1:9" ht="15" thickBot="1" x14ac:dyDescent="0.35">
      <c r="A28" s="8" t="s">
        <v>10</v>
      </c>
      <c r="B28" s="8">
        <v>0</v>
      </c>
      <c r="C28" s="8">
        <v>0</v>
      </c>
      <c r="D28" s="8">
        <v>65535</v>
      </c>
      <c r="E28" s="8" t="e">
        <v>#NUM!</v>
      </c>
      <c r="F28" s="8">
        <v>0</v>
      </c>
      <c r="G28" s="8">
        <v>0</v>
      </c>
      <c r="H28" s="8">
        <v>0</v>
      </c>
      <c r="I28" s="8">
        <v>0</v>
      </c>
    </row>
    <row r="32" spans="1:9" x14ac:dyDescent="0.3">
      <c r="A32" t="s">
        <v>38</v>
      </c>
    </row>
    <row r="33" spans="1:3" ht="15" thickBot="1" x14ac:dyDescent="0.35"/>
    <row r="34" spans="1:3" x14ac:dyDescent="0.3">
      <c r="A34" s="9" t="s">
        <v>39</v>
      </c>
      <c r="B34" s="9" t="s">
        <v>40</v>
      </c>
      <c r="C34" s="9" t="s">
        <v>41</v>
      </c>
    </row>
    <row r="35" spans="1:3" x14ac:dyDescent="0.3">
      <c r="A35">
        <v>1</v>
      </c>
      <c r="B35">
        <v>253.81154553597753</v>
      </c>
      <c r="C35">
        <v>-27.641545535977571</v>
      </c>
    </row>
    <row r="36" spans="1:3" x14ac:dyDescent="0.3">
      <c r="A36">
        <v>2</v>
      </c>
      <c r="B36">
        <v>1082.6746919345003</v>
      </c>
      <c r="C36">
        <v>36.493308065499832</v>
      </c>
    </row>
    <row r="37" spans="1:3" x14ac:dyDescent="0.3">
      <c r="A37">
        <v>3</v>
      </c>
      <c r="B37">
        <v>535.10043034164164</v>
      </c>
      <c r="C37">
        <v>-19.30143034164189</v>
      </c>
    </row>
    <row r="38" spans="1:3" x14ac:dyDescent="0.3">
      <c r="A38">
        <v>4</v>
      </c>
      <c r="B38">
        <v>669.1058291761168</v>
      </c>
      <c r="C38">
        <v>-18.864829176116814</v>
      </c>
    </row>
    <row r="39" spans="1:3" x14ac:dyDescent="0.3">
      <c r="A39">
        <v>5</v>
      </c>
      <c r="B39">
        <v>225.23845431594145</v>
      </c>
      <c r="C39">
        <v>-13.569704315941465</v>
      </c>
    </row>
    <row r="40" spans="1:3" x14ac:dyDescent="0.3">
      <c r="A40">
        <v>6</v>
      </c>
      <c r="B40">
        <v>8.3736170483090291</v>
      </c>
      <c r="C40">
        <v>15.696882951690956</v>
      </c>
    </row>
    <row r="41" spans="1:3" x14ac:dyDescent="0.3">
      <c r="A41">
        <v>7</v>
      </c>
      <c r="B41">
        <v>67.518417963117258</v>
      </c>
      <c r="C41">
        <v>-9.2884179631172685</v>
      </c>
    </row>
    <row r="42" spans="1:3" x14ac:dyDescent="0.3">
      <c r="A42">
        <v>8</v>
      </c>
      <c r="B42">
        <v>180.65544324024734</v>
      </c>
      <c r="C42">
        <v>-34.26144324024736</v>
      </c>
    </row>
    <row r="43" spans="1:3" x14ac:dyDescent="0.3">
      <c r="A43">
        <v>9</v>
      </c>
      <c r="B43">
        <v>17.978343661381132</v>
      </c>
      <c r="C43">
        <v>-9.5475936613811321</v>
      </c>
    </row>
    <row r="44" spans="1:3" x14ac:dyDescent="0.3">
      <c r="A44">
        <v>10</v>
      </c>
      <c r="B44">
        <v>159.28081752731725</v>
      </c>
      <c r="C44">
        <v>20.023932472682759</v>
      </c>
    </row>
    <row r="45" spans="1:3" x14ac:dyDescent="0.3">
      <c r="A45">
        <v>11</v>
      </c>
      <c r="B45">
        <v>161.96944900522999</v>
      </c>
      <c r="C45">
        <v>-32.60569900522998</v>
      </c>
    </row>
    <row r="46" spans="1:3" x14ac:dyDescent="0.3">
      <c r="A46">
        <v>12</v>
      </c>
      <c r="B46">
        <v>573.8080240777565</v>
      </c>
      <c r="C46">
        <v>38.254975922243602</v>
      </c>
    </row>
    <row r="47" spans="1:3" x14ac:dyDescent="0.3">
      <c r="A47">
        <v>13</v>
      </c>
      <c r="B47">
        <v>204.82022213313553</v>
      </c>
      <c r="C47">
        <v>-35.179222133135511</v>
      </c>
    </row>
    <row r="48" spans="1:3" x14ac:dyDescent="0.3">
      <c r="A48">
        <v>14</v>
      </c>
      <c r="B48">
        <v>176.26956634325052</v>
      </c>
      <c r="C48">
        <v>12.910433656749433</v>
      </c>
    </row>
    <row r="49" spans="1:3" x14ac:dyDescent="0.3">
      <c r="A49">
        <v>15</v>
      </c>
      <c r="B49">
        <v>155.6052025849034</v>
      </c>
      <c r="C49">
        <v>-38.380202584903344</v>
      </c>
    </row>
    <row r="50" spans="1:3" x14ac:dyDescent="0.3">
      <c r="A50">
        <v>16</v>
      </c>
      <c r="B50">
        <v>448.84020247822514</v>
      </c>
      <c r="C50">
        <v>-42.625202478225219</v>
      </c>
    </row>
    <row r="51" spans="1:3" x14ac:dyDescent="0.3">
      <c r="A51">
        <v>17</v>
      </c>
      <c r="B51">
        <v>1040.1739719224556</v>
      </c>
      <c r="C51">
        <v>34.723028077544313</v>
      </c>
    </row>
    <row r="52" spans="1:3" x14ac:dyDescent="0.3">
      <c r="A52">
        <v>18</v>
      </c>
      <c r="B52">
        <v>141.50717135537093</v>
      </c>
      <c r="C52">
        <v>12.167828644629083</v>
      </c>
    </row>
    <row r="53" spans="1:3" x14ac:dyDescent="0.3">
      <c r="A53">
        <v>19</v>
      </c>
      <c r="B53">
        <v>44.095504672601919</v>
      </c>
      <c r="C53">
        <v>2.3939953273980947</v>
      </c>
    </row>
    <row r="54" spans="1:3" x14ac:dyDescent="0.3">
      <c r="A54">
        <v>20</v>
      </c>
      <c r="B54">
        <v>145.11112294926818</v>
      </c>
      <c r="C54">
        <v>-40.616622949268162</v>
      </c>
    </row>
    <row r="55" spans="1:3" x14ac:dyDescent="0.3">
      <c r="A55">
        <v>21</v>
      </c>
      <c r="B55">
        <v>97.510931653642388</v>
      </c>
      <c r="C55">
        <v>-18.180431653642358</v>
      </c>
    </row>
    <row r="56" spans="1:3" x14ac:dyDescent="0.3">
      <c r="A56">
        <v>22</v>
      </c>
      <c r="B56">
        <v>93.811657570075113</v>
      </c>
      <c r="C56">
        <v>0.91334242992488157</v>
      </c>
    </row>
    <row r="57" spans="1:3" x14ac:dyDescent="0.3">
      <c r="A57">
        <v>23</v>
      </c>
      <c r="B57">
        <v>445.07491017537086</v>
      </c>
      <c r="C57">
        <v>-21.539410175370847</v>
      </c>
    </row>
    <row r="58" spans="1:3" x14ac:dyDescent="0.3">
      <c r="A58">
        <v>24</v>
      </c>
      <c r="B58">
        <v>762.16109239709272</v>
      </c>
      <c r="C58">
        <v>19.218907602907166</v>
      </c>
    </row>
    <row r="59" spans="1:3" x14ac:dyDescent="0.3">
      <c r="A59">
        <v>25</v>
      </c>
      <c r="B59">
        <v>413.98131145195555</v>
      </c>
      <c r="C59">
        <v>-57.986311451955487</v>
      </c>
    </row>
    <row r="60" spans="1:3" x14ac:dyDescent="0.3">
      <c r="A60">
        <v>26</v>
      </c>
      <c r="B60">
        <v>-84.114227842601338</v>
      </c>
      <c r="C60">
        <v>84.114227842601338</v>
      </c>
    </row>
    <row r="61" spans="1:3" x14ac:dyDescent="0.3">
      <c r="A61">
        <v>27</v>
      </c>
      <c r="B61">
        <v>449.40007847927109</v>
      </c>
      <c r="C61">
        <v>-33.240078479271006</v>
      </c>
    </row>
    <row r="62" spans="1:3" x14ac:dyDescent="0.3">
      <c r="A62">
        <v>28</v>
      </c>
      <c r="B62">
        <v>758.72022066208547</v>
      </c>
      <c r="C62">
        <v>12.507779337914599</v>
      </c>
    </row>
    <row r="63" spans="1:3" x14ac:dyDescent="0.3">
      <c r="A63">
        <v>29</v>
      </c>
      <c r="B63">
        <v>607.70718270349687</v>
      </c>
      <c r="C63">
        <v>-36.171182703496925</v>
      </c>
    </row>
    <row r="64" spans="1:3" x14ac:dyDescent="0.3">
      <c r="A64">
        <v>30</v>
      </c>
      <c r="B64">
        <v>151.96755256266624</v>
      </c>
      <c r="C64">
        <v>-28.829552562666223</v>
      </c>
    </row>
    <row r="65" spans="1:3" x14ac:dyDescent="0.3">
      <c r="A65">
        <v>31</v>
      </c>
      <c r="B65">
        <v>92.856418148961097</v>
      </c>
      <c r="C65">
        <v>7.1763318510389098</v>
      </c>
    </row>
    <row r="66" spans="1:3" x14ac:dyDescent="0.3">
      <c r="A66">
        <v>32</v>
      </c>
      <c r="B66">
        <v>93.792417994947641</v>
      </c>
      <c r="C66">
        <v>-33.928917994947653</v>
      </c>
    </row>
    <row r="67" spans="1:3" x14ac:dyDescent="0.3">
      <c r="A67">
        <v>33</v>
      </c>
      <c r="B67">
        <v>123.90550828957248</v>
      </c>
      <c r="C67">
        <v>-19.45150828957253</v>
      </c>
    </row>
    <row r="68" spans="1:3" x14ac:dyDescent="0.3">
      <c r="A68">
        <v>34</v>
      </c>
      <c r="B68">
        <v>1351.7993195426591</v>
      </c>
      <c r="C68">
        <v>66.348680457341061</v>
      </c>
    </row>
    <row r="69" spans="1:3" x14ac:dyDescent="0.3">
      <c r="A69">
        <v>35</v>
      </c>
      <c r="B69">
        <v>481.60582713872088</v>
      </c>
      <c r="C69">
        <v>-3.111827138720912</v>
      </c>
    </row>
    <row r="70" spans="1:3" x14ac:dyDescent="0.3">
      <c r="A70">
        <v>36</v>
      </c>
      <c r="B70">
        <v>-97.55161867362375</v>
      </c>
      <c r="C70">
        <v>97.55161867362375</v>
      </c>
    </row>
    <row r="71" spans="1:3" x14ac:dyDescent="0.3">
      <c r="A71">
        <v>37</v>
      </c>
      <c r="B71">
        <v>-91.128977932657847</v>
      </c>
      <c r="C71">
        <v>91.128977932657847</v>
      </c>
    </row>
    <row r="72" spans="1:3" x14ac:dyDescent="0.3">
      <c r="A72">
        <v>38</v>
      </c>
      <c r="B72">
        <v>-30.721333393643704</v>
      </c>
      <c r="C72">
        <v>30.721333393643704</v>
      </c>
    </row>
    <row r="73" spans="1:3" x14ac:dyDescent="0.3">
      <c r="A73">
        <v>39</v>
      </c>
      <c r="B73">
        <v>608.76989519901622</v>
      </c>
      <c r="C73">
        <v>27.566104800983794</v>
      </c>
    </row>
    <row r="74" spans="1:3" x14ac:dyDescent="0.3">
      <c r="A74">
        <v>40</v>
      </c>
      <c r="B74">
        <v>-16.130094324755191</v>
      </c>
      <c r="C74">
        <v>16.130094324755191</v>
      </c>
    </row>
    <row r="75" spans="1:3" x14ac:dyDescent="0.3">
      <c r="A75">
        <v>41</v>
      </c>
      <c r="B75">
        <v>812.89388480072398</v>
      </c>
      <c r="C75">
        <v>-14.818884800723936</v>
      </c>
    </row>
    <row r="76" spans="1:3" x14ac:dyDescent="0.3">
      <c r="A76">
        <v>42</v>
      </c>
      <c r="B76">
        <v>629.04187370984323</v>
      </c>
      <c r="C76">
        <v>-2.8128737098430747</v>
      </c>
    </row>
    <row r="77" spans="1:3" x14ac:dyDescent="0.3">
      <c r="A77">
        <v>43</v>
      </c>
      <c r="B77">
        <v>491.14444518666369</v>
      </c>
      <c r="C77">
        <v>13.78255481333639</v>
      </c>
    </row>
    <row r="78" spans="1:3" x14ac:dyDescent="0.3">
      <c r="A78">
        <v>44</v>
      </c>
      <c r="B78">
        <v>55.854930165738097</v>
      </c>
      <c r="C78">
        <v>-24.847680165738083</v>
      </c>
    </row>
    <row r="79" spans="1:3" x14ac:dyDescent="0.3">
      <c r="A79">
        <v>45</v>
      </c>
      <c r="B79">
        <v>572.15037896174761</v>
      </c>
      <c r="C79">
        <v>-8.5073789617475768</v>
      </c>
    </row>
    <row r="80" spans="1:3" x14ac:dyDescent="0.3">
      <c r="A80">
        <v>46</v>
      </c>
      <c r="B80">
        <v>73.569336226410769</v>
      </c>
      <c r="C80">
        <v>14.630663773589205</v>
      </c>
    </row>
    <row r="81" spans="1:3" x14ac:dyDescent="0.3">
      <c r="A81">
        <v>47</v>
      </c>
      <c r="B81">
        <v>726.10478001354647</v>
      </c>
      <c r="C81">
        <v>-12.454280013546509</v>
      </c>
    </row>
    <row r="82" spans="1:3" x14ac:dyDescent="0.3">
      <c r="A82">
        <v>48</v>
      </c>
      <c r="B82">
        <v>222.50951464504033</v>
      </c>
      <c r="C82">
        <v>-41.753514645040298</v>
      </c>
    </row>
    <row r="83" spans="1:3" x14ac:dyDescent="0.3">
      <c r="A83">
        <v>49</v>
      </c>
      <c r="B83">
        <v>919.88431098498586</v>
      </c>
      <c r="C83">
        <v>37.130689015014241</v>
      </c>
    </row>
    <row r="84" spans="1:3" x14ac:dyDescent="0.3">
      <c r="A84">
        <v>50</v>
      </c>
      <c r="B84">
        <v>546.78742170352643</v>
      </c>
      <c r="C84">
        <v>-4.6094217035265501</v>
      </c>
    </row>
    <row r="85" spans="1:3" x14ac:dyDescent="0.3">
      <c r="A85">
        <v>51</v>
      </c>
      <c r="B85">
        <v>254.04391231426791</v>
      </c>
      <c r="C85">
        <v>-54.644412314267868</v>
      </c>
    </row>
    <row r="86" spans="1:3" x14ac:dyDescent="0.3">
      <c r="A86">
        <v>52</v>
      </c>
      <c r="B86">
        <v>264.63713264957346</v>
      </c>
      <c r="C86">
        <v>39.787867350426438</v>
      </c>
    </row>
    <row r="87" spans="1:3" x14ac:dyDescent="0.3">
      <c r="A87">
        <v>53</v>
      </c>
      <c r="B87">
        <v>621.63956043117514</v>
      </c>
      <c r="C87">
        <v>13.535439568824813</v>
      </c>
    </row>
    <row r="88" spans="1:3" x14ac:dyDescent="0.3">
      <c r="A88">
        <v>54</v>
      </c>
      <c r="B88">
        <v>405.73766463940706</v>
      </c>
      <c r="C88">
        <v>-29.762664639407035</v>
      </c>
    </row>
    <row r="89" spans="1:3" x14ac:dyDescent="0.3">
      <c r="A89">
        <v>55</v>
      </c>
      <c r="B89">
        <v>539.26890679890187</v>
      </c>
      <c r="C89">
        <v>4.5830932010981087</v>
      </c>
    </row>
    <row r="90" spans="1:3" x14ac:dyDescent="0.3">
      <c r="A90">
        <v>56</v>
      </c>
      <c r="B90">
        <v>145.31970207530685</v>
      </c>
      <c r="C90">
        <v>-37.139702075306886</v>
      </c>
    </row>
    <row r="91" spans="1:3" x14ac:dyDescent="0.3">
      <c r="A91">
        <v>57</v>
      </c>
      <c r="B91">
        <v>54.247792425508806</v>
      </c>
      <c r="C91">
        <v>86.73720757449118</v>
      </c>
    </row>
    <row r="92" spans="1:3" x14ac:dyDescent="0.3">
      <c r="A92">
        <v>58</v>
      </c>
      <c r="B92">
        <v>267.48005214263878</v>
      </c>
      <c r="C92">
        <v>-64.368052142638817</v>
      </c>
    </row>
    <row r="93" spans="1:3" x14ac:dyDescent="0.3">
      <c r="A93">
        <v>59</v>
      </c>
      <c r="B93">
        <v>-67.442059023158606</v>
      </c>
      <c r="C93">
        <v>67.442059023158606</v>
      </c>
    </row>
    <row r="94" spans="1:3" x14ac:dyDescent="0.3">
      <c r="A94">
        <v>60</v>
      </c>
      <c r="B94">
        <v>361.0491840489484</v>
      </c>
      <c r="C94">
        <v>-34.862184048948336</v>
      </c>
    </row>
    <row r="95" spans="1:3" x14ac:dyDescent="0.3">
      <c r="A95">
        <v>61</v>
      </c>
      <c r="B95">
        <v>880.18889360526873</v>
      </c>
      <c r="C95">
        <v>4.0611063947312687</v>
      </c>
    </row>
    <row r="96" spans="1:3" x14ac:dyDescent="0.3">
      <c r="A96">
        <v>62</v>
      </c>
      <c r="B96">
        <v>220.54347561556949</v>
      </c>
      <c r="C96">
        <v>-49.99347561556948</v>
      </c>
    </row>
    <row r="97" spans="1:3" x14ac:dyDescent="0.3">
      <c r="A97">
        <v>63</v>
      </c>
      <c r="B97">
        <v>555.48680677208392</v>
      </c>
      <c r="C97">
        <v>6.6171932279160046</v>
      </c>
    </row>
    <row r="98" spans="1:3" x14ac:dyDescent="0.3">
      <c r="A98">
        <v>64</v>
      </c>
      <c r="B98">
        <v>-13.713980206233941</v>
      </c>
      <c r="C98">
        <v>58.263980206233938</v>
      </c>
    </row>
    <row r="99" spans="1:3" x14ac:dyDescent="0.3">
      <c r="A99">
        <v>65</v>
      </c>
      <c r="B99">
        <v>29.674527685768339</v>
      </c>
      <c r="C99">
        <v>-13.97402768576832</v>
      </c>
    </row>
    <row r="100" spans="1:3" x14ac:dyDescent="0.3">
      <c r="A100">
        <v>66</v>
      </c>
      <c r="B100">
        <v>548.3690646444702</v>
      </c>
      <c r="C100">
        <v>-29.753064644470214</v>
      </c>
    </row>
    <row r="101" spans="1:3" x14ac:dyDescent="0.3">
      <c r="A101">
        <v>67</v>
      </c>
      <c r="B101">
        <v>157.89041151290326</v>
      </c>
      <c r="C101">
        <v>-32.007411512903246</v>
      </c>
    </row>
    <row r="102" spans="1:3" x14ac:dyDescent="0.3">
      <c r="A102">
        <v>68</v>
      </c>
      <c r="B102">
        <v>905.29859225503515</v>
      </c>
      <c r="C102">
        <v>56.657407744964758</v>
      </c>
    </row>
    <row r="103" spans="1:3" x14ac:dyDescent="0.3">
      <c r="A103">
        <v>69</v>
      </c>
      <c r="B103">
        <v>303.9524010368591</v>
      </c>
      <c r="C103">
        <v>-70.217901036859075</v>
      </c>
    </row>
    <row r="104" spans="1:3" x14ac:dyDescent="0.3">
      <c r="A104">
        <v>70</v>
      </c>
      <c r="B104">
        <v>545.35242437150612</v>
      </c>
      <c r="C104">
        <v>-17.394424371506034</v>
      </c>
    </row>
    <row r="105" spans="1:3" x14ac:dyDescent="0.3">
      <c r="A105">
        <v>71</v>
      </c>
      <c r="B105">
        <v>427.94590228747143</v>
      </c>
      <c r="C105">
        <v>2.8390977125285417</v>
      </c>
    </row>
    <row r="106" spans="1:3" x14ac:dyDescent="0.3">
      <c r="A106">
        <v>72</v>
      </c>
      <c r="B106">
        <v>607.19222718304354</v>
      </c>
      <c r="C106">
        <v>8.2862728169566253</v>
      </c>
    </row>
    <row r="107" spans="1:3" x14ac:dyDescent="0.3">
      <c r="A107">
        <v>73</v>
      </c>
      <c r="B107">
        <v>1026.4309966686335</v>
      </c>
      <c r="C107">
        <v>59.914003331366303</v>
      </c>
    </row>
    <row r="108" spans="1:3" x14ac:dyDescent="0.3">
      <c r="A108">
        <v>74</v>
      </c>
      <c r="B108">
        <v>-72.972836951681643</v>
      </c>
      <c r="C108">
        <v>85.086836951681647</v>
      </c>
    </row>
    <row r="109" spans="1:3" x14ac:dyDescent="0.3">
      <c r="A109">
        <v>75</v>
      </c>
      <c r="B109">
        <v>113.36676227734176</v>
      </c>
      <c r="C109">
        <v>8.4347377226582694</v>
      </c>
    </row>
    <row r="110" spans="1:3" x14ac:dyDescent="0.3">
      <c r="A110">
        <v>76</v>
      </c>
      <c r="B110">
        <v>351.64665267770897</v>
      </c>
      <c r="C110">
        <v>-42.730652677708861</v>
      </c>
    </row>
    <row r="111" spans="1:3" x14ac:dyDescent="0.3">
      <c r="A111">
        <v>77</v>
      </c>
      <c r="B111">
        <v>111.57816552553834</v>
      </c>
      <c r="C111">
        <v>-21.535415525538326</v>
      </c>
    </row>
    <row r="112" spans="1:3" x14ac:dyDescent="0.3">
      <c r="A112">
        <v>78</v>
      </c>
      <c r="B112">
        <v>348.02436738658639</v>
      </c>
      <c r="C112">
        <v>-71.427367386586354</v>
      </c>
    </row>
    <row r="113" spans="1:3" x14ac:dyDescent="0.3">
      <c r="A113">
        <v>79</v>
      </c>
      <c r="B113">
        <v>53.989999512844065</v>
      </c>
      <c r="C113">
        <v>13.649500487155962</v>
      </c>
    </row>
    <row r="114" spans="1:3" x14ac:dyDescent="0.3">
      <c r="A114">
        <v>80</v>
      </c>
      <c r="B114">
        <v>53.348122475933451</v>
      </c>
      <c r="C114">
        <v>-28.908622475933463</v>
      </c>
    </row>
    <row r="115" spans="1:3" x14ac:dyDescent="0.3">
      <c r="A115">
        <v>81</v>
      </c>
      <c r="B115">
        <v>564.35556302911527</v>
      </c>
      <c r="C115">
        <v>37.757936970884657</v>
      </c>
    </row>
    <row r="116" spans="1:3" x14ac:dyDescent="0.3">
      <c r="A116">
        <v>82</v>
      </c>
      <c r="B116">
        <v>-6.6070333800099661</v>
      </c>
      <c r="C116">
        <v>29.656033380009966</v>
      </c>
    </row>
    <row r="117" spans="1:3" x14ac:dyDescent="0.3">
      <c r="A117">
        <v>83</v>
      </c>
      <c r="B117">
        <v>353.74261333888603</v>
      </c>
      <c r="C117">
        <v>40.295386661113923</v>
      </c>
    </row>
    <row r="118" spans="1:3" x14ac:dyDescent="0.3">
      <c r="A118">
        <v>84</v>
      </c>
      <c r="B118">
        <v>254.7995350354638</v>
      </c>
      <c r="C118">
        <v>-16.63253503546386</v>
      </c>
    </row>
    <row r="119" spans="1:3" x14ac:dyDescent="0.3">
      <c r="A119">
        <v>85</v>
      </c>
      <c r="B119">
        <v>536.65296551211145</v>
      </c>
      <c r="C119">
        <v>-38.808965512111683</v>
      </c>
    </row>
    <row r="120" spans="1:3" x14ac:dyDescent="0.3">
      <c r="A120">
        <v>86</v>
      </c>
      <c r="B120">
        <v>438.00328723820951</v>
      </c>
      <c r="C120">
        <v>-45.990287238209476</v>
      </c>
    </row>
    <row r="121" spans="1:3" x14ac:dyDescent="0.3">
      <c r="A121">
        <v>87</v>
      </c>
      <c r="B121">
        <v>274.12926211310105</v>
      </c>
      <c r="C121">
        <v>-63.160262113101027</v>
      </c>
    </row>
    <row r="122" spans="1:3" x14ac:dyDescent="0.3">
      <c r="A122">
        <v>88</v>
      </c>
      <c r="B122">
        <v>691.29825840019294</v>
      </c>
      <c r="C122">
        <v>17.019741599807048</v>
      </c>
    </row>
    <row r="123" spans="1:3" x14ac:dyDescent="0.3">
      <c r="A123">
        <v>89</v>
      </c>
      <c r="B123">
        <v>803.84294192065431</v>
      </c>
      <c r="C123">
        <v>29.944058079345723</v>
      </c>
    </row>
    <row r="124" spans="1:3" x14ac:dyDescent="0.3">
      <c r="A124">
        <v>90</v>
      </c>
      <c r="B124">
        <v>28.603941608050718</v>
      </c>
      <c r="C124">
        <v>-24.74519160805071</v>
      </c>
    </row>
    <row r="125" spans="1:3" x14ac:dyDescent="0.3">
      <c r="A125">
        <v>91</v>
      </c>
      <c r="B125">
        <v>45.794834772028139</v>
      </c>
      <c r="C125">
        <v>53.799165227971883</v>
      </c>
    </row>
    <row r="126" spans="1:3" x14ac:dyDescent="0.3">
      <c r="A126">
        <v>92</v>
      </c>
      <c r="B126">
        <v>617.20751953589468</v>
      </c>
      <c r="C126">
        <v>-26.299019535894672</v>
      </c>
    </row>
    <row r="127" spans="1:3" x14ac:dyDescent="0.3">
      <c r="A127">
        <v>93</v>
      </c>
      <c r="B127">
        <v>150.97940538230921</v>
      </c>
      <c r="C127">
        <v>-38.891155382309194</v>
      </c>
    </row>
    <row r="128" spans="1:3" x14ac:dyDescent="0.3">
      <c r="A128">
        <v>94</v>
      </c>
      <c r="B128">
        <v>920.06722251598171</v>
      </c>
      <c r="C128">
        <v>18.470777484018072</v>
      </c>
    </row>
    <row r="129" spans="1:3" x14ac:dyDescent="0.3">
      <c r="A129">
        <v>95</v>
      </c>
      <c r="B129">
        <v>538.57845033612102</v>
      </c>
      <c r="C129">
        <v>-37.102950336121182</v>
      </c>
    </row>
    <row r="130" spans="1:3" x14ac:dyDescent="0.3">
      <c r="A130">
        <v>96</v>
      </c>
      <c r="B130">
        <v>540.24523749033449</v>
      </c>
      <c r="C130">
        <v>-2.2882374903342679</v>
      </c>
    </row>
    <row r="131" spans="1:3" x14ac:dyDescent="0.3">
      <c r="A131">
        <v>97</v>
      </c>
      <c r="B131">
        <v>433.90802405306533</v>
      </c>
      <c r="C131">
        <v>41.34597594693463</v>
      </c>
    </row>
    <row r="132" spans="1:3" x14ac:dyDescent="0.3">
      <c r="A132">
        <v>98</v>
      </c>
      <c r="B132">
        <v>792.89501778323825</v>
      </c>
      <c r="C132">
        <v>-6.961017783238276</v>
      </c>
    </row>
    <row r="133" spans="1:3" x14ac:dyDescent="0.3">
      <c r="A133">
        <v>99</v>
      </c>
      <c r="B133">
        <v>221.30586314158927</v>
      </c>
      <c r="C133">
        <v>-44.905863141589322</v>
      </c>
    </row>
    <row r="134" spans="1:3" x14ac:dyDescent="0.3">
      <c r="A134">
        <v>100</v>
      </c>
      <c r="B134">
        <v>223.69744492944756</v>
      </c>
      <c r="C134">
        <v>-34.82794492944754</v>
      </c>
    </row>
    <row r="135" spans="1:3" x14ac:dyDescent="0.3">
      <c r="A135">
        <v>101</v>
      </c>
      <c r="B135">
        <v>572.75431292253643</v>
      </c>
      <c r="C135">
        <v>7.9796870774637227</v>
      </c>
    </row>
    <row r="136" spans="1:3" x14ac:dyDescent="0.3">
      <c r="A136">
        <v>102</v>
      </c>
      <c r="B136">
        <v>-8.8821120134274452</v>
      </c>
      <c r="C136">
        <v>71.375862013427451</v>
      </c>
    </row>
    <row r="137" spans="1:3" x14ac:dyDescent="0.3">
      <c r="A137">
        <v>103</v>
      </c>
      <c r="B137">
        <v>356.71572631721051</v>
      </c>
      <c r="C137">
        <v>-18.423726317210424</v>
      </c>
    </row>
    <row r="138" spans="1:3" x14ac:dyDescent="0.3">
      <c r="A138">
        <v>104</v>
      </c>
      <c r="B138">
        <v>157.76058963290268</v>
      </c>
      <c r="C138">
        <v>-28.599339632902684</v>
      </c>
    </row>
    <row r="139" spans="1:3" x14ac:dyDescent="0.3">
      <c r="A139">
        <v>105</v>
      </c>
      <c r="B139">
        <v>221.79100273101869</v>
      </c>
      <c r="C139">
        <v>-26.295252731018707</v>
      </c>
    </row>
    <row r="140" spans="1:3" x14ac:dyDescent="0.3">
      <c r="A140">
        <v>106</v>
      </c>
      <c r="B140">
        <v>473.08715362126895</v>
      </c>
      <c r="C140">
        <v>-5.6631536212690321</v>
      </c>
    </row>
    <row r="141" spans="1:3" x14ac:dyDescent="0.3">
      <c r="A141">
        <v>107</v>
      </c>
      <c r="B141">
        <v>533.57271119496068</v>
      </c>
      <c r="C141">
        <v>-22.300711194960741</v>
      </c>
    </row>
    <row r="142" spans="1:3" x14ac:dyDescent="0.3">
      <c r="A142">
        <v>108</v>
      </c>
      <c r="B142">
        <v>236.75128861545136</v>
      </c>
      <c r="C142">
        <v>-61.881288615451354</v>
      </c>
    </row>
    <row r="143" spans="1:3" x14ac:dyDescent="0.3">
      <c r="A143">
        <v>109</v>
      </c>
      <c r="B143">
        <v>1118.6968803708442</v>
      </c>
      <c r="C143">
        <v>49.75511962915607</v>
      </c>
    </row>
    <row r="144" spans="1:3" x14ac:dyDescent="0.3">
      <c r="A144">
        <v>110</v>
      </c>
      <c r="B144">
        <v>-37.341344065761064</v>
      </c>
      <c r="C144">
        <v>37.341344065761064</v>
      </c>
    </row>
    <row r="145" spans="1:3" x14ac:dyDescent="0.3">
      <c r="A145">
        <v>111</v>
      </c>
      <c r="B145">
        <v>12.791681532336383</v>
      </c>
      <c r="C145">
        <v>15.616818467663627</v>
      </c>
    </row>
    <row r="146" spans="1:3" x14ac:dyDescent="0.3">
      <c r="A146">
        <v>112</v>
      </c>
      <c r="B146">
        <v>49.816272941897523</v>
      </c>
      <c r="C146">
        <v>37.735727058102427</v>
      </c>
    </row>
    <row r="147" spans="1:3" x14ac:dyDescent="0.3">
      <c r="A147">
        <v>113</v>
      </c>
      <c r="B147">
        <v>153.29658402527866</v>
      </c>
      <c r="C147">
        <v>-34.627084025278691</v>
      </c>
    </row>
    <row r="148" spans="1:3" x14ac:dyDescent="0.3">
      <c r="A148">
        <v>114</v>
      </c>
      <c r="B148">
        <v>-92.77404240675304</v>
      </c>
      <c r="C148">
        <v>92.77404240675304</v>
      </c>
    </row>
    <row r="149" spans="1:3" x14ac:dyDescent="0.3">
      <c r="A149">
        <v>115</v>
      </c>
      <c r="B149">
        <v>785.95712695909447</v>
      </c>
      <c r="C149">
        <v>36.530373040905715</v>
      </c>
    </row>
    <row r="150" spans="1:3" x14ac:dyDescent="0.3">
      <c r="A150">
        <v>116</v>
      </c>
      <c r="B150">
        <v>396.49251561439007</v>
      </c>
      <c r="C150">
        <v>-4.5065156143900822</v>
      </c>
    </row>
    <row r="151" spans="1:3" x14ac:dyDescent="0.3">
      <c r="A151">
        <v>117</v>
      </c>
      <c r="B151">
        <v>562.51822831487493</v>
      </c>
      <c r="C151">
        <v>-35.766228314874979</v>
      </c>
    </row>
    <row r="152" spans="1:3" x14ac:dyDescent="0.3">
      <c r="A152">
        <v>118</v>
      </c>
      <c r="B152">
        <v>142.12025909099066</v>
      </c>
      <c r="C152">
        <v>34.133490909009311</v>
      </c>
    </row>
    <row r="153" spans="1:3" x14ac:dyDescent="0.3">
      <c r="A153">
        <v>119</v>
      </c>
      <c r="B153">
        <v>98.438449003791902</v>
      </c>
      <c r="C153">
        <v>-34.407949003791913</v>
      </c>
    </row>
    <row r="154" spans="1:3" ht="15" thickBot="1" x14ac:dyDescent="0.35">
      <c r="A154" s="8">
        <v>120</v>
      </c>
      <c r="B154" s="8">
        <v>-68.861190465077357</v>
      </c>
      <c r="C154" s="8">
        <v>76.916190465077392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72B3-DF7B-4A13-8AE3-2BF03E148221}">
  <dimension ref="A1:R123"/>
  <sheetViews>
    <sheetView tabSelected="1" workbookViewId="0">
      <selection activeCell="K2" sqref="K2"/>
    </sheetView>
  </sheetViews>
  <sheetFormatPr defaultRowHeight="14.4" x14ac:dyDescent="0.3"/>
  <cols>
    <col min="14" max="14" width="14.6640625" customWidth="1"/>
    <col min="15" max="15" width="15.77734375" bestFit="1" customWidth="1"/>
  </cols>
  <sheetData>
    <row r="1" spans="1:18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2" t="s">
        <v>13</v>
      </c>
      <c r="O1" s="9" t="s">
        <v>40</v>
      </c>
      <c r="P1" t="s">
        <v>42</v>
      </c>
      <c r="R1" t="s">
        <v>43</v>
      </c>
    </row>
    <row r="2" spans="1:18" x14ac:dyDescent="0.3">
      <c r="A2" s="7">
        <v>6</v>
      </c>
      <c r="B2" s="7">
        <v>3</v>
      </c>
      <c r="C2">
        <v>5</v>
      </c>
      <c r="D2">
        <v>5</v>
      </c>
      <c r="E2" s="4">
        <v>3.7</v>
      </c>
      <c r="F2" s="7">
        <v>25</v>
      </c>
      <c r="G2" s="4">
        <f t="shared" ref="G2:G65" si="0">E2*D2</f>
        <v>18.5</v>
      </c>
      <c r="H2" s="5">
        <f>I2/A2</f>
        <v>33.376666666666665</v>
      </c>
      <c r="I2" s="5">
        <f xml:space="preserve"> (B2*E2*2.1)  + (C2*E2*0.2) +(D2*E2*4.5)+(A2*15)</f>
        <v>200.26</v>
      </c>
      <c r="J2" s="4">
        <f t="shared" ref="J2:J65" si="1">D2*E2</f>
        <v>18.5</v>
      </c>
      <c r="K2" s="4">
        <f t="shared" ref="K2:K33" si="2">D2*E2</f>
        <v>18.5</v>
      </c>
      <c r="L2">
        <f>ROW()</f>
        <v>2</v>
      </c>
      <c r="M2">
        <f t="shared" ref="M2:M65" ca="1" si="3">RAND()</f>
        <v>0.32791013279745529</v>
      </c>
      <c r="N2">
        <f>IF(I2&lt;=100,0,
IF(I2&lt;=200,(I2-100)*2.25,
IF(I2&lt;=500,(100*2.25)+((I2-200)*4.5),
(100*2.25)+(300*4.5)+((I2-500)*6.5))))</f>
        <v>226.16999999999996</v>
      </c>
      <c r="O2">
        <v>253.81154553597753</v>
      </c>
      <c r="P2">
        <f>ABS(O2-N2)</f>
        <v>27.641545535977571</v>
      </c>
      <c r="R2">
        <f>AVERAGE(P2:P121)</f>
        <v>32.265487086089955</v>
      </c>
    </row>
    <row r="3" spans="1:18" x14ac:dyDescent="0.3">
      <c r="A3" s="7">
        <v>5</v>
      </c>
      <c r="B3" s="7">
        <v>5</v>
      </c>
      <c r="C3">
        <v>7</v>
      </c>
      <c r="D3">
        <v>5</v>
      </c>
      <c r="E3" s="4">
        <v>9.41</v>
      </c>
      <c r="F3" s="7">
        <v>27</v>
      </c>
      <c r="G3" s="4">
        <f t="shared" si="0"/>
        <v>47.05</v>
      </c>
      <c r="H3" s="5">
        <f t="shared" ref="H3:H66" si="4">I3/A3</f>
        <v>79.740800000000007</v>
      </c>
      <c r="I3" s="5">
        <f t="shared" ref="I3:I66" si="5" xml:space="preserve"> (B3*E3*2.1)  + (C3*E3*0.2) +(D3*E3*4.5)+(A3*15)</f>
        <v>398.70400000000001</v>
      </c>
      <c r="J3" s="4">
        <f t="shared" si="1"/>
        <v>47.05</v>
      </c>
      <c r="K3" s="4">
        <f t="shared" si="2"/>
        <v>47.05</v>
      </c>
      <c r="L3">
        <f>ROW()</f>
        <v>3</v>
      </c>
      <c r="M3">
        <f t="shared" ca="1" si="3"/>
        <v>0.31697594709877042</v>
      </c>
      <c r="N3">
        <f t="shared" ref="N3:N66" si="6">IF(I3&lt;=100,0,
IF(I3&lt;=200,(I3-100)*2.25,
IF(I3&lt;=500,(100*2.25)+((I3-200)*4.5),
(100*2.25)+(300*4.5)+((I3-500)*6.5))))</f>
        <v>1119.1680000000001</v>
      </c>
      <c r="O3">
        <v>1082.6746919345003</v>
      </c>
      <c r="P3">
        <f t="shared" ref="P3:P66" si="7">ABS(O3-N3)</f>
        <v>36.493308065499832</v>
      </c>
    </row>
    <row r="4" spans="1:18" x14ac:dyDescent="0.3">
      <c r="A4" s="7">
        <v>4</v>
      </c>
      <c r="B4" s="7">
        <v>1</v>
      </c>
      <c r="C4">
        <v>8</v>
      </c>
      <c r="D4">
        <v>5</v>
      </c>
      <c r="E4" s="4">
        <v>7.81</v>
      </c>
      <c r="F4" s="7">
        <v>31</v>
      </c>
      <c r="G4" s="4">
        <f t="shared" si="0"/>
        <v>39.049999999999997</v>
      </c>
      <c r="H4" s="5">
        <f t="shared" si="4"/>
        <v>66.155499999999989</v>
      </c>
      <c r="I4" s="5">
        <f t="shared" si="5"/>
        <v>264.62199999999996</v>
      </c>
      <c r="J4" s="4">
        <f t="shared" si="1"/>
        <v>39.049999999999997</v>
      </c>
      <c r="K4" s="4">
        <f t="shared" si="2"/>
        <v>39.049999999999997</v>
      </c>
      <c r="L4">
        <f>ROW()</f>
        <v>4</v>
      </c>
      <c r="M4">
        <f t="shared" ca="1" si="3"/>
        <v>0.95357249897060847</v>
      </c>
      <c r="N4">
        <f t="shared" si="6"/>
        <v>515.79899999999975</v>
      </c>
      <c r="O4">
        <v>535.10043034164164</v>
      </c>
      <c r="P4">
        <f t="shared" si="7"/>
        <v>19.30143034164189</v>
      </c>
    </row>
    <row r="5" spans="1:18" x14ac:dyDescent="0.3">
      <c r="A5" s="7">
        <v>3</v>
      </c>
      <c r="B5" s="7">
        <v>3</v>
      </c>
      <c r="C5">
        <v>3</v>
      </c>
      <c r="D5">
        <v>4</v>
      </c>
      <c r="E5" s="4">
        <v>10.02</v>
      </c>
      <c r="F5" s="7">
        <v>25</v>
      </c>
      <c r="G5" s="4">
        <f t="shared" si="0"/>
        <v>40.08</v>
      </c>
      <c r="H5" s="5">
        <f t="shared" si="4"/>
        <v>98.165999999999997</v>
      </c>
      <c r="I5" s="5">
        <f t="shared" si="5"/>
        <v>294.49799999999999</v>
      </c>
      <c r="J5" s="4">
        <f t="shared" si="1"/>
        <v>40.08</v>
      </c>
      <c r="K5" s="4">
        <f t="shared" si="2"/>
        <v>40.08</v>
      </c>
      <c r="L5">
        <f>ROW()</f>
        <v>5</v>
      </c>
      <c r="M5">
        <f t="shared" ca="1" si="3"/>
        <v>0.64716616392065229</v>
      </c>
      <c r="N5">
        <f t="shared" si="6"/>
        <v>650.24099999999999</v>
      </c>
      <c r="O5">
        <v>669.1058291761168</v>
      </c>
      <c r="P5">
        <f t="shared" si="7"/>
        <v>18.864829176116814</v>
      </c>
    </row>
    <row r="6" spans="1:18" x14ac:dyDescent="0.3">
      <c r="A6" s="7">
        <v>6</v>
      </c>
      <c r="B6" s="7">
        <v>1</v>
      </c>
      <c r="C6">
        <v>2</v>
      </c>
      <c r="D6">
        <v>2</v>
      </c>
      <c r="E6" s="4">
        <v>9.0500000000000007</v>
      </c>
      <c r="F6" s="7">
        <v>27</v>
      </c>
      <c r="G6" s="4">
        <f t="shared" si="0"/>
        <v>18.100000000000001</v>
      </c>
      <c r="H6" s="5">
        <f t="shared" si="4"/>
        <v>32.345833333333331</v>
      </c>
      <c r="I6" s="5">
        <f t="shared" si="5"/>
        <v>194.07499999999999</v>
      </c>
      <c r="J6" s="4">
        <f t="shared" si="1"/>
        <v>18.100000000000001</v>
      </c>
      <c r="K6" s="4">
        <f t="shared" si="2"/>
        <v>18.100000000000001</v>
      </c>
      <c r="L6">
        <f>ROW()</f>
        <v>6</v>
      </c>
      <c r="M6">
        <f t="shared" ca="1" si="3"/>
        <v>0.6535092112745311</v>
      </c>
      <c r="N6">
        <f t="shared" si="6"/>
        <v>211.66874999999999</v>
      </c>
      <c r="O6">
        <v>225.23845431594145</v>
      </c>
      <c r="P6">
        <f t="shared" si="7"/>
        <v>13.569704315941465</v>
      </c>
    </row>
    <row r="7" spans="1:18" x14ac:dyDescent="0.3">
      <c r="A7" s="7">
        <v>3</v>
      </c>
      <c r="B7" s="7">
        <v>3</v>
      </c>
      <c r="C7">
        <v>8</v>
      </c>
      <c r="D7">
        <v>3</v>
      </c>
      <c r="E7" s="4">
        <v>3.07</v>
      </c>
      <c r="F7" s="7">
        <v>25</v>
      </c>
      <c r="G7" s="4">
        <f t="shared" si="0"/>
        <v>9.2099999999999991</v>
      </c>
      <c r="H7" s="5">
        <f t="shared" si="4"/>
        <v>36.899333333333331</v>
      </c>
      <c r="I7" s="5">
        <f t="shared" si="5"/>
        <v>110.69799999999999</v>
      </c>
      <c r="J7" s="4">
        <f t="shared" si="1"/>
        <v>9.2099999999999991</v>
      </c>
      <c r="K7" s="4">
        <f t="shared" si="2"/>
        <v>9.2099999999999991</v>
      </c>
      <c r="L7">
        <f>ROW()</f>
        <v>7</v>
      </c>
      <c r="M7">
        <f t="shared" ca="1" si="3"/>
        <v>0.1945715458492685</v>
      </c>
      <c r="N7">
        <f t="shared" si="6"/>
        <v>24.070499999999985</v>
      </c>
      <c r="O7">
        <v>8.3736170483090291</v>
      </c>
      <c r="P7">
        <f t="shared" si="7"/>
        <v>15.696882951690956</v>
      </c>
    </row>
    <row r="8" spans="1:18" x14ac:dyDescent="0.3">
      <c r="A8" s="7">
        <v>2</v>
      </c>
      <c r="B8" s="7">
        <v>4</v>
      </c>
      <c r="C8">
        <v>6</v>
      </c>
      <c r="D8">
        <v>1</v>
      </c>
      <c r="E8" s="4">
        <v>6.8</v>
      </c>
      <c r="F8" s="7">
        <v>27</v>
      </c>
      <c r="G8" s="4">
        <f t="shared" si="0"/>
        <v>6.8</v>
      </c>
      <c r="H8" s="5">
        <f t="shared" si="4"/>
        <v>62.94</v>
      </c>
      <c r="I8" s="5">
        <f t="shared" si="5"/>
        <v>125.88</v>
      </c>
      <c r="J8" s="4">
        <f t="shared" si="1"/>
        <v>6.8</v>
      </c>
      <c r="K8" s="4">
        <f t="shared" si="2"/>
        <v>6.8</v>
      </c>
      <c r="L8">
        <f>ROW()</f>
        <v>8</v>
      </c>
      <c r="M8">
        <f t="shared" ca="1" si="3"/>
        <v>0.45754373292399997</v>
      </c>
      <c r="N8">
        <f t="shared" si="6"/>
        <v>58.22999999999999</v>
      </c>
      <c r="O8">
        <v>67.518417963117258</v>
      </c>
      <c r="P8">
        <f t="shared" si="7"/>
        <v>9.2884179631172685</v>
      </c>
    </row>
    <row r="9" spans="1:18" x14ac:dyDescent="0.3">
      <c r="A9" s="7">
        <v>5</v>
      </c>
      <c r="B9" s="7">
        <v>3</v>
      </c>
      <c r="C9">
        <v>5</v>
      </c>
      <c r="D9">
        <v>3</v>
      </c>
      <c r="E9" s="4">
        <v>4.33</v>
      </c>
      <c r="F9" s="7">
        <v>33</v>
      </c>
      <c r="G9" s="4">
        <f t="shared" si="0"/>
        <v>12.99</v>
      </c>
      <c r="H9" s="5">
        <f t="shared" si="4"/>
        <v>33.012799999999999</v>
      </c>
      <c r="I9" s="5">
        <f t="shared" si="5"/>
        <v>165.06399999999999</v>
      </c>
      <c r="J9" s="4">
        <f t="shared" si="1"/>
        <v>12.99</v>
      </c>
      <c r="K9" s="4">
        <f t="shared" si="2"/>
        <v>12.99</v>
      </c>
      <c r="L9">
        <f>ROW()</f>
        <v>9</v>
      </c>
      <c r="M9">
        <f t="shared" ca="1" si="3"/>
        <v>0.87137554892595792</v>
      </c>
      <c r="N9">
        <f t="shared" si="6"/>
        <v>146.39399999999998</v>
      </c>
      <c r="O9">
        <v>180.65544324024734</v>
      </c>
      <c r="P9">
        <f t="shared" si="7"/>
        <v>34.26144324024736</v>
      </c>
    </row>
    <row r="10" spans="1:18" x14ac:dyDescent="0.3">
      <c r="A10" s="7">
        <v>4</v>
      </c>
      <c r="B10" s="7">
        <v>2</v>
      </c>
      <c r="C10">
        <v>5</v>
      </c>
      <c r="D10">
        <v>1</v>
      </c>
      <c r="E10" s="4">
        <v>4.51</v>
      </c>
      <c r="F10" s="7">
        <v>33</v>
      </c>
      <c r="G10" s="4">
        <f t="shared" si="0"/>
        <v>4.51</v>
      </c>
      <c r="H10" s="5">
        <f t="shared" si="4"/>
        <v>25.93675</v>
      </c>
      <c r="I10" s="5">
        <f t="shared" si="5"/>
        <v>103.747</v>
      </c>
      <c r="J10" s="4">
        <f t="shared" si="1"/>
        <v>4.51</v>
      </c>
      <c r="K10" s="4">
        <f t="shared" si="2"/>
        <v>4.51</v>
      </c>
      <c r="L10">
        <f>ROW()</f>
        <v>10</v>
      </c>
      <c r="M10">
        <f t="shared" ca="1" si="3"/>
        <v>0.19091537357481414</v>
      </c>
      <c r="N10">
        <f t="shared" si="6"/>
        <v>8.4307499999999997</v>
      </c>
      <c r="O10">
        <v>17.978343661381132</v>
      </c>
      <c r="P10">
        <f t="shared" si="7"/>
        <v>9.5475936613811321</v>
      </c>
    </row>
    <row r="11" spans="1:18" x14ac:dyDescent="0.3">
      <c r="A11" s="7">
        <v>4</v>
      </c>
      <c r="B11" s="7">
        <v>1</v>
      </c>
      <c r="C11">
        <v>3</v>
      </c>
      <c r="D11">
        <v>2</v>
      </c>
      <c r="E11" s="4">
        <v>10.23</v>
      </c>
      <c r="F11" s="7">
        <v>29</v>
      </c>
      <c r="G11" s="4">
        <f t="shared" si="0"/>
        <v>20.46</v>
      </c>
      <c r="H11" s="5">
        <f t="shared" si="4"/>
        <v>44.922750000000001</v>
      </c>
      <c r="I11" s="5">
        <f t="shared" si="5"/>
        <v>179.691</v>
      </c>
      <c r="J11" s="4">
        <f t="shared" si="1"/>
        <v>20.46</v>
      </c>
      <c r="K11" s="4">
        <f t="shared" si="2"/>
        <v>20.46</v>
      </c>
      <c r="L11">
        <f>ROW()</f>
        <v>11</v>
      </c>
      <c r="M11">
        <f t="shared" ca="1" si="3"/>
        <v>0.54781782407397939</v>
      </c>
      <c r="N11">
        <f t="shared" si="6"/>
        <v>179.30475000000001</v>
      </c>
      <c r="O11">
        <v>159.28081752731725</v>
      </c>
      <c r="P11">
        <f t="shared" si="7"/>
        <v>20.023932472682759</v>
      </c>
    </row>
    <row r="12" spans="1:18" x14ac:dyDescent="0.3">
      <c r="A12" s="7">
        <v>2</v>
      </c>
      <c r="B12" s="7">
        <v>1</v>
      </c>
      <c r="C12">
        <v>7</v>
      </c>
      <c r="D12">
        <v>4</v>
      </c>
      <c r="E12" s="4">
        <v>5.93</v>
      </c>
      <c r="F12" s="7">
        <v>29</v>
      </c>
      <c r="G12" s="4">
        <f t="shared" si="0"/>
        <v>23.72</v>
      </c>
      <c r="H12" s="5">
        <f t="shared" si="4"/>
        <v>78.747500000000002</v>
      </c>
      <c r="I12" s="5">
        <f t="shared" si="5"/>
        <v>157.495</v>
      </c>
      <c r="J12" s="4">
        <f t="shared" si="1"/>
        <v>23.72</v>
      </c>
      <c r="K12" s="4">
        <f t="shared" si="2"/>
        <v>23.72</v>
      </c>
      <c r="L12">
        <f>ROW()</f>
        <v>12</v>
      </c>
      <c r="M12">
        <f t="shared" ca="1" si="3"/>
        <v>0.46563030218042867</v>
      </c>
      <c r="N12">
        <f t="shared" si="6"/>
        <v>129.36375000000001</v>
      </c>
      <c r="O12">
        <v>161.96944900522999</v>
      </c>
      <c r="P12">
        <f t="shared" si="7"/>
        <v>32.60569900522998</v>
      </c>
    </row>
    <row r="13" spans="1:18" x14ac:dyDescent="0.3">
      <c r="A13" s="7">
        <v>6</v>
      </c>
      <c r="B13" s="7">
        <v>4</v>
      </c>
      <c r="C13">
        <v>4</v>
      </c>
      <c r="D13">
        <v>2</v>
      </c>
      <c r="E13" s="4">
        <v>10.77</v>
      </c>
      <c r="F13" s="7">
        <v>36</v>
      </c>
      <c r="G13" s="4">
        <f t="shared" si="0"/>
        <v>21.54</v>
      </c>
      <c r="H13" s="5">
        <f t="shared" si="4"/>
        <v>47.669000000000004</v>
      </c>
      <c r="I13" s="5">
        <f t="shared" si="5"/>
        <v>286.01400000000001</v>
      </c>
      <c r="J13" s="4">
        <f t="shared" si="1"/>
        <v>21.54</v>
      </c>
      <c r="K13" s="4">
        <f t="shared" si="2"/>
        <v>21.54</v>
      </c>
      <c r="L13">
        <f>ROW()</f>
        <v>13</v>
      </c>
      <c r="M13">
        <f t="shared" ca="1" si="3"/>
        <v>2.1847508500339008E-2</v>
      </c>
      <c r="N13">
        <f t="shared" si="6"/>
        <v>612.0630000000001</v>
      </c>
      <c r="O13">
        <v>573.8080240777565</v>
      </c>
      <c r="P13">
        <f t="shared" si="7"/>
        <v>38.254975922243602</v>
      </c>
    </row>
    <row r="14" spans="1:18" x14ac:dyDescent="0.3">
      <c r="A14" s="7">
        <v>2</v>
      </c>
      <c r="B14" s="7">
        <v>3</v>
      </c>
      <c r="C14">
        <v>5</v>
      </c>
      <c r="D14">
        <v>2</v>
      </c>
      <c r="E14" s="4">
        <v>8.92</v>
      </c>
      <c r="F14" s="7">
        <v>34</v>
      </c>
      <c r="G14" s="4">
        <f t="shared" si="0"/>
        <v>17.84</v>
      </c>
      <c r="H14" s="5">
        <f t="shared" si="4"/>
        <v>87.698000000000008</v>
      </c>
      <c r="I14" s="5">
        <f t="shared" si="5"/>
        <v>175.39600000000002</v>
      </c>
      <c r="J14" s="4">
        <f t="shared" si="1"/>
        <v>17.84</v>
      </c>
      <c r="K14" s="4">
        <f t="shared" si="2"/>
        <v>17.84</v>
      </c>
      <c r="L14">
        <f>ROW()</f>
        <v>14</v>
      </c>
      <c r="M14">
        <f t="shared" ca="1" si="3"/>
        <v>0.72490486013873734</v>
      </c>
      <c r="N14">
        <f t="shared" si="6"/>
        <v>169.64100000000002</v>
      </c>
      <c r="O14">
        <v>204.82022213313553</v>
      </c>
      <c r="P14">
        <f t="shared" si="7"/>
        <v>35.179222133135511</v>
      </c>
    </row>
    <row r="15" spans="1:18" x14ac:dyDescent="0.3">
      <c r="A15" s="7">
        <v>3</v>
      </c>
      <c r="B15" s="7">
        <v>3</v>
      </c>
      <c r="C15">
        <v>6</v>
      </c>
      <c r="D15">
        <v>1</v>
      </c>
      <c r="E15" s="4">
        <v>11.59</v>
      </c>
      <c r="F15" s="7">
        <v>25</v>
      </c>
      <c r="G15" s="4">
        <f t="shared" si="0"/>
        <v>11.59</v>
      </c>
      <c r="H15" s="5">
        <f t="shared" si="4"/>
        <v>61.359999999999992</v>
      </c>
      <c r="I15" s="5">
        <f t="shared" si="5"/>
        <v>184.07999999999998</v>
      </c>
      <c r="J15" s="4">
        <f t="shared" si="1"/>
        <v>11.59</v>
      </c>
      <c r="K15" s="4">
        <f t="shared" si="2"/>
        <v>11.59</v>
      </c>
      <c r="L15">
        <f>ROW()</f>
        <v>15</v>
      </c>
      <c r="M15">
        <f t="shared" ca="1" si="3"/>
        <v>0.77343080179915336</v>
      </c>
      <c r="N15">
        <f t="shared" si="6"/>
        <v>189.17999999999995</v>
      </c>
      <c r="O15">
        <v>176.26956634325052</v>
      </c>
      <c r="P15">
        <f t="shared" si="7"/>
        <v>12.910433656749433</v>
      </c>
    </row>
    <row r="16" spans="1:18" x14ac:dyDescent="0.3">
      <c r="A16" s="7">
        <v>3</v>
      </c>
      <c r="B16" s="7">
        <v>4</v>
      </c>
      <c r="C16">
        <v>3</v>
      </c>
      <c r="D16">
        <v>2</v>
      </c>
      <c r="E16" s="4">
        <v>5.95</v>
      </c>
      <c r="F16" s="7">
        <v>28</v>
      </c>
      <c r="G16" s="4">
        <f t="shared" si="0"/>
        <v>11.9</v>
      </c>
      <c r="H16" s="5">
        <f t="shared" si="4"/>
        <v>50.70000000000001</v>
      </c>
      <c r="I16" s="5">
        <f t="shared" si="5"/>
        <v>152.10000000000002</v>
      </c>
      <c r="J16" s="4">
        <f t="shared" si="1"/>
        <v>11.9</v>
      </c>
      <c r="K16" s="4">
        <f t="shared" si="2"/>
        <v>11.9</v>
      </c>
      <c r="L16">
        <f>ROW()</f>
        <v>16</v>
      </c>
      <c r="M16">
        <f t="shared" ca="1" si="3"/>
        <v>0.82705281812836473</v>
      </c>
      <c r="N16">
        <f t="shared" si="6"/>
        <v>117.22500000000005</v>
      </c>
      <c r="O16">
        <v>155.6052025849034</v>
      </c>
      <c r="P16">
        <f t="shared" si="7"/>
        <v>38.380202584903344</v>
      </c>
    </row>
    <row r="17" spans="1:16" x14ac:dyDescent="0.3">
      <c r="A17" s="7">
        <v>2</v>
      </c>
      <c r="B17" s="7">
        <v>1</v>
      </c>
      <c r="C17">
        <v>7</v>
      </c>
      <c r="D17">
        <v>4</v>
      </c>
      <c r="E17" s="4">
        <v>9.7799999999999994</v>
      </c>
      <c r="F17" s="7">
        <v>30</v>
      </c>
      <c r="G17" s="4">
        <f t="shared" si="0"/>
        <v>39.119999999999997</v>
      </c>
      <c r="H17" s="5">
        <f t="shared" si="4"/>
        <v>120.13499999999999</v>
      </c>
      <c r="I17" s="5">
        <f t="shared" si="5"/>
        <v>240.26999999999998</v>
      </c>
      <c r="J17" s="4">
        <f t="shared" si="1"/>
        <v>39.119999999999997</v>
      </c>
      <c r="K17" s="4">
        <f t="shared" si="2"/>
        <v>39.119999999999997</v>
      </c>
      <c r="L17">
        <f>ROW()</f>
        <v>17</v>
      </c>
      <c r="M17">
        <f t="shared" ca="1" si="3"/>
        <v>0.11201736673800478</v>
      </c>
      <c r="N17">
        <f t="shared" si="6"/>
        <v>406.21499999999992</v>
      </c>
      <c r="O17">
        <v>448.84020247822514</v>
      </c>
      <c r="P17">
        <f t="shared" si="7"/>
        <v>42.625202478225219</v>
      </c>
    </row>
    <row r="18" spans="1:16" x14ac:dyDescent="0.3">
      <c r="A18" s="7">
        <v>5</v>
      </c>
      <c r="B18" s="7">
        <v>4</v>
      </c>
      <c r="C18">
        <v>9</v>
      </c>
      <c r="D18">
        <v>4</v>
      </c>
      <c r="E18" s="4">
        <v>11.13</v>
      </c>
      <c r="F18" s="7">
        <v>25</v>
      </c>
      <c r="G18" s="4">
        <f t="shared" si="0"/>
        <v>44.52</v>
      </c>
      <c r="H18" s="5">
        <f t="shared" si="4"/>
        <v>77.773200000000003</v>
      </c>
      <c r="I18" s="5">
        <f t="shared" si="5"/>
        <v>388.86599999999999</v>
      </c>
      <c r="J18" s="4">
        <f t="shared" si="1"/>
        <v>44.52</v>
      </c>
      <c r="K18" s="4">
        <f t="shared" si="2"/>
        <v>44.52</v>
      </c>
      <c r="L18">
        <f>ROW()</f>
        <v>18</v>
      </c>
      <c r="M18">
        <f t="shared" ca="1" si="3"/>
        <v>0.62708541932974904</v>
      </c>
      <c r="N18">
        <f t="shared" si="6"/>
        <v>1074.8969999999999</v>
      </c>
      <c r="O18">
        <v>1040.1739719224556</v>
      </c>
      <c r="P18">
        <f t="shared" si="7"/>
        <v>34.723028077544313</v>
      </c>
    </row>
    <row r="19" spans="1:16" x14ac:dyDescent="0.3">
      <c r="A19" s="7">
        <v>4</v>
      </c>
      <c r="B19" s="7">
        <v>3</v>
      </c>
      <c r="C19">
        <v>3</v>
      </c>
      <c r="D19">
        <v>1</v>
      </c>
      <c r="E19" s="4">
        <v>9.5</v>
      </c>
      <c r="F19" s="7">
        <v>31</v>
      </c>
      <c r="G19" s="4">
        <f t="shared" si="0"/>
        <v>9.5</v>
      </c>
      <c r="H19" s="5">
        <f t="shared" si="4"/>
        <v>42.075000000000003</v>
      </c>
      <c r="I19" s="5">
        <f t="shared" si="5"/>
        <v>168.3</v>
      </c>
      <c r="J19" s="4">
        <f t="shared" si="1"/>
        <v>9.5</v>
      </c>
      <c r="K19" s="4">
        <f t="shared" si="2"/>
        <v>9.5</v>
      </c>
      <c r="L19">
        <f>ROW()</f>
        <v>19</v>
      </c>
      <c r="M19">
        <f t="shared" ca="1" si="3"/>
        <v>0.63234267731402682</v>
      </c>
      <c r="N19">
        <f t="shared" si="6"/>
        <v>153.67500000000001</v>
      </c>
      <c r="O19">
        <v>141.50717135537093</v>
      </c>
      <c r="P19">
        <f t="shared" si="7"/>
        <v>12.167828644629083</v>
      </c>
    </row>
    <row r="20" spans="1:16" x14ac:dyDescent="0.3">
      <c r="A20" s="7">
        <v>2</v>
      </c>
      <c r="B20" s="7">
        <v>4</v>
      </c>
      <c r="C20">
        <v>7</v>
      </c>
      <c r="D20">
        <v>1</v>
      </c>
      <c r="E20" s="4">
        <v>6.34</v>
      </c>
      <c r="F20" s="7">
        <v>37</v>
      </c>
      <c r="G20" s="4">
        <f t="shared" si="0"/>
        <v>6.34</v>
      </c>
      <c r="H20" s="5">
        <f t="shared" si="4"/>
        <v>60.331000000000003</v>
      </c>
      <c r="I20" s="5">
        <f t="shared" si="5"/>
        <v>120.66200000000001</v>
      </c>
      <c r="J20" s="4">
        <f t="shared" si="1"/>
        <v>6.34</v>
      </c>
      <c r="K20" s="4">
        <f t="shared" si="2"/>
        <v>6.34</v>
      </c>
      <c r="L20">
        <f>ROW()</f>
        <v>20</v>
      </c>
      <c r="M20">
        <f t="shared" ca="1" si="3"/>
        <v>4.5851575335312811E-2</v>
      </c>
      <c r="N20">
        <f t="shared" si="6"/>
        <v>46.489500000000014</v>
      </c>
      <c r="O20">
        <v>44.095504672601919</v>
      </c>
      <c r="P20">
        <f t="shared" si="7"/>
        <v>2.3939953273980947</v>
      </c>
    </row>
    <row r="21" spans="1:16" x14ac:dyDescent="0.3">
      <c r="A21" s="7">
        <v>5</v>
      </c>
      <c r="B21" s="7">
        <v>5</v>
      </c>
      <c r="C21">
        <v>6</v>
      </c>
      <c r="D21">
        <v>1</v>
      </c>
      <c r="E21" s="4">
        <v>4.41</v>
      </c>
      <c r="F21" s="7">
        <v>34</v>
      </c>
      <c r="G21" s="4">
        <f t="shared" si="0"/>
        <v>4.41</v>
      </c>
      <c r="H21" s="5">
        <f t="shared" si="4"/>
        <v>29.288400000000003</v>
      </c>
      <c r="I21" s="5">
        <f t="shared" si="5"/>
        <v>146.44200000000001</v>
      </c>
      <c r="J21" s="4">
        <f t="shared" si="1"/>
        <v>4.41</v>
      </c>
      <c r="K21" s="4">
        <f t="shared" si="2"/>
        <v>4.41</v>
      </c>
      <c r="L21">
        <f>ROW()</f>
        <v>21</v>
      </c>
      <c r="M21">
        <f t="shared" ca="1" si="3"/>
        <v>0.98826108199872909</v>
      </c>
      <c r="N21">
        <f t="shared" si="6"/>
        <v>104.49450000000002</v>
      </c>
      <c r="O21">
        <v>145.11112294926818</v>
      </c>
      <c r="P21">
        <f t="shared" si="7"/>
        <v>40.616622949268162</v>
      </c>
    </row>
    <row r="22" spans="1:16" x14ac:dyDescent="0.3">
      <c r="A22" s="7">
        <v>5</v>
      </c>
      <c r="B22" s="7">
        <v>1</v>
      </c>
      <c r="C22">
        <v>5</v>
      </c>
      <c r="D22">
        <v>2</v>
      </c>
      <c r="E22" s="4">
        <v>4.9800000000000004</v>
      </c>
      <c r="F22" s="7">
        <v>35</v>
      </c>
      <c r="G22" s="4">
        <f t="shared" si="0"/>
        <v>9.9600000000000009</v>
      </c>
      <c r="H22" s="5">
        <f t="shared" si="4"/>
        <v>27.051600000000001</v>
      </c>
      <c r="I22" s="5">
        <f t="shared" si="5"/>
        <v>135.25800000000001</v>
      </c>
      <c r="J22" s="4">
        <f t="shared" si="1"/>
        <v>9.9600000000000009</v>
      </c>
      <c r="K22" s="4">
        <f t="shared" si="2"/>
        <v>9.9600000000000009</v>
      </c>
      <c r="L22">
        <f>ROW()</f>
        <v>22</v>
      </c>
      <c r="M22">
        <f t="shared" ca="1" si="3"/>
        <v>0.73158145594062085</v>
      </c>
      <c r="N22">
        <f t="shared" si="6"/>
        <v>79.330500000000029</v>
      </c>
      <c r="O22">
        <v>97.510931653642388</v>
      </c>
      <c r="P22">
        <f t="shared" si="7"/>
        <v>18.180431653642358</v>
      </c>
    </row>
    <row r="23" spans="1:16" x14ac:dyDescent="0.3">
      <c r="A23" s="7">
        <v>2</v>
      </c>
      <c r="B23" s="7">
        <v>2</v>
      </c>
      <c r="C23">
        <v>7</v>
      </c>
      <c r="D23">
        <v>4</v>
      </c>
      <c r="E23" s="4">
        <v>4.75</v>
      </c>
      <c r="F23" s="7">
        <v>37</v>
      </c>
      <c r="G23" s="4">
        <f t="shared" si="0"/>
        <v>19</v>
      </c>
      <c r="H23" s="5">
        <f t="shared" si="4"/>
        <v>71.05</v>
      </c>
      <c r="I23" s="5">
        <f t="shared" si="5"/>
        <v>142.1</v>
      </c>
      <c r="J23" s="4">
        <f t="shared" si="1"/>
        <v>19</v>
      </c>
      <c r="K23" s="4">
        <f t="shared" si="2"/>
        <v>19</v>
      </c>
      <c r="L23">
        <f>ROW()</f>
        <v>23</v>
      </c>
      <c r="M23">
        <f t="shared" ca="1" si="3"/>
        <v>0.40399281671949683</v>
      </c>
      <c r="N23">
        <f t="shared" si="6"/>
        <v>94.724999999999994</v>
      </c>
      <c r="O23">
        <v>93.811657570075113</v>
      </c>
      <c r="P23">
        <f t="shared" si="7"/>
        <v>0.91334242992488157</v>
      </c>
    </row>
    <row r="24" spans="1:16" x14ac:dyDescent="0.3">
      <c r="A24" s="7">
        <v>5</v>
      </c>
      <c r="B24" s="7">
        <v>1</v>
      </c>
      <c r="C24">
        <v>3</v>
      </c>
      <c r="D24">
        <v>4</v>
      </c>
      <c r="E24" s="4">
        <v>8.17</v>
      </c>
      <c r="F24" s="7">
        <v>29</v>
      </c>
      <c r="G24" s="4">
        <f t="shared" si="0"/>
        <v>32.68</v>
      </c>
      <c r="H24" s="5">
        <f t="shared" si="4"/>
        <v>48.823799999999999</v>
      </c>
      <c r="I24" s="5">
        <f t="shared" si="5"/>
        <v>244.119</v>
      </c>
      <c r="J24" s="4">
        <f t="shared" si="1"/>
        <v>32.68</v>
      </c>
      <c r="K24" s="4">
        <f t="shared" si="2"/>
        <v>32.68</v>
      </c>
      <c r="L24">
        <f>ROW()</f>
        <v>24</v>
      </c>
      <c r="M24">
        <f t="shared" ca="1" si="3"/>
        <v>0.83920634691179474</v>
      </c>
      <c r="N24">
        <f t="shared" si="6"/>
        <v>423.53550000000001</v>
      </c>
      <c r="O24">
        <v>445.07491017537086</v>
      </c>
      <c r="P24">
        <f t="shared" si="7"/>
        <v>21.539410175370847</v>
      </c>
    </row>
    <row r="25" spans="1:16" x14ac:dyDescent="0.3">
      <c r="A25" s="7">
        <v>3</v>
      </c>
      <c r="B25" s="7">
        <v>1</v>
      </c>
      <c r="C25">
        <v>6</v>
      </c>
      <c r="D25">
        <v>5</v>
      </c>
      <c r="E25" s="4">
        <v>10.8</v>
      </c>
      <c r="F25" s="7">
        <v>35</v>
      </c>
      <c r="G25" s="4">
        <f t="shared" si="0"/>
        <v>54</v>
      </c>
      <c r="H25" s="5">
        <f t="shared" si="4"/>
        <v>107.88</v>
      </c>
      <c r="I25" s="5">
        <f t="shared" si="5"/>
        <v>323.64</v>
      </c>
      <c r="J25" s="4">
        <f t="shared" si="1"/>
        <v>54</v>
      </c>
      <c r="K25" s="4">
        <f t="shared" si="2"/>
        <v>54</v>
      </c>
      <c r="L25">
        <f>ROW()</f>
        <v>25</v>
      </c>
      <c r="M25">
        <f t="shared" ca="1" si="3"/>
        <v>0.92052943615070137</v>
      </c>
      <c r="N25">
        <f t="shared" si="6"/>
        <v>781.37999999999988</v>
      </c>
      <c r="O25">
        <v>762.16109239709272</v>
      </c>
      <c r="P25">
        <f t="shared" si="7"/>
        <v>19.218907602907166</v>
      </c>
    </row>
    <row r="26" spans="1:16" x14ac:dyDescent="0.3">
      <c r="A26" s="7">
        <v>3</v>
      </c>
      <c r="B26" s="7">
        <v>4</v>
      </c>
      <c r="C26">
        <v>8</v>
      </c>
      <c r="D26">
        <v>2</v>
      </c>
      <c r="E26" s="4">
        <v>9.69</v>
      </c>
      <c r="F26" s="7">
        <v>27</v>
      </c>
      <c r="G26" s="4">
        <f t="shared" si="0"/>
        <v>19.38</v>
      </c>
      <c r="H26" s="5">
        <f t="shared" si="4"/>
        <v>76.37</v>
      </c>
      <c r="I26" s="5">
        <f t="shared" si="5"/>
        <v>229.11</v>
      </c>
      <c r="J26" s="4">
        <f t="shared" si="1"/>
        <v>19.38</v>
      </c>
      <c r="K26" s="4">
        <f t="shared" si="2"/>
        <v>19.38</v>
      </c>
      <c r="L26">
        <f>ROW()</f>
        <v>26</v>
      </c>
      <c r="M26">
        <f t="shared" ca="1" si="3"/>
        <v>2.9350621759530071E-2</v>
      </c>
      <c r="N26">
        <f t="shared" si="6"/>
        <v>355.99500000000006</v>
      </c>
      <c r="O26">
        <v>413.98131145195555</v>
      </c>
      <c r="P26">
        <f t="shared" si="7"/>
        <v>57.986311451955487</v>
      </c>
    </row>
    <row r="27" spans="1:16" x14ac:dyDescent="0.3">
      <c r="A27" s="7">
        <v>2</v>
      </c>
      <c r="B27" s="7">
        <v>4</v>
      </c>
      <c r="C27">
        <v>7</v>
      </c>
      <c r="D27">
        <v>3</v>
      </c>
      <c r="E27" s="4">
        <v>2.4700000000000002</v>
      </c>
      <c r="F27" s="7">
        <v>26</v>
      </c>
      <c r="G27" s="4">
        <f t="shared" si="0"/>
        <v>7.41</v>
      </c>
      <c r="H27" s="5">
        <f t="shared" si="4"/>
        <v>43.775500000000001</v>
      </c>
      <c r="I27" s="5">
        <f t="shared" si="5"/>
        <v>87.551000000000002</v>
      </c>
      <c r="J27" s="4">
        <f t="shared" si="1"/>
        <v>7.41</v>
      </c>
      <c r="K27" s="4">
        <f t="shared" si="2"/>
        <v>7.41</v>
      </c>
      <c r="L27">
        <f>ROW()</f>
        <v>27</v>
      </c>
      <c r="M27">
        <f t="shared" ca="1" si="3"/>
        <v>0.29116908926908958</v>
      </c>
      <c r="N27">
        <f t="shared" si="6"/>
        <v>0</v>
      </c>
      <c r="O27">
        <v>-84.114227842601338</v>
      </c>
      <c r="P27">
        <f t="shared" si="7"/>
        <v>84.114227842601338</v>
      </c>
    </row>
    <row r="28" spans="1:16" x14ac:dyDescent="0.3">
      <c r="A28" s="7">
        <v>5</v>
      </c>
      <c r="B28" s="7">
        <v>3</v>
      </c>
      <c r="C28">
        <v>7</v>
      </c>
      <c r="D28">
        <v>3</v>
      </c>
      <c r="E28" s="4">
        <v>7.9</v>
      </c>
      <c r="F28" s="7">
        <v>34</v>
      </c>
      <c r="G28" s="4">
        <f t="shared" si="0"/>
        <v>23.700000000000003</v>
      </c>
      <c r="H28" s="5">
        <f t="shared" si="4"/>
        <v>48.496000000000002</v>
      </c>
      <c r="I28" s="5">
        <f t="shared" si="5"/>
        <v>242.48000000000002</v>
      </c>
      <c r="J28" s="4">
        <f t="shared" si="1"/>
        <v>23.700000000000003</v>
      </c>
      <c r="K28" s="4">
        <f t="shared" si="2"/>
        <v>23.700000000000003</v>
      </c>
      <c r="L28">
        <f>ROW()</f>
        <v>28</v>
      </c>
      <c r="M28">
        <f t="shared" ca="1" si="3"/>
        <v>0.90289137005007358</v>
      </c>
      <c r="N28">
        <f t="shared" si="6"/>
        <v>416.16000000000008</v>
      </c>
      <c r="O28">
        <v>449.40007847927109</v>
      </c>
      <c r="P28">
        <f t="shared" si="7"/>
        <v>33.240078479271006</v>
      </c>
    </row>
    <row r="29" spans="1:16" x14ac:dyDescent="0.3">
      <c r="A29" s="7">
        <v>5</v>
      </c>
      <c r="B29" s="7">
        <v>3</v>
      </c>
      <c r="C29">
        <v>9</v>
      </c>
      <c r="D29">
        <v>4</v>
      </c>
      <c r="E29" s="4">
        <v>9.44</v>
      </c>
      <c r="F29" s="7">
        <v>29</v>
      </c>
      <c r="G29" s="4">
        <f t="shared" si="0"/>
        <v>37.76</v>
      </c>
      <c r="H29" s="5">
        <f t="shared" si="4"/>
        <v>64.276800000000009</v>
      </c>
      <c r="I29" s="5">
        <f t="shared" si="5"/>
        <v>321.38400000000001</v>
      </c>
      <c r="J29" s="4">
        <f t="shared" si="1"/>
        <v>37.76</v>
      </c>
      <c r="K29" s="4">
        <f t="shared" si="2"/>
        <v>37.76</v>
      </c>
      <c r="L29">
        <f>ROW()</f>
        <v>29</v>
      </c>
      <c r="M29">
        <f t="shared" ca="1" si="3"/>
        <v>0.87898004585762224</v>
      </c>
      <c r="N29">
        <f t="shared" si="6"/>
        <v>771.22800000000007</v>
      </c>
      <c r="O29">
        <v>758.72022066208547</v>
      </c>
      <c r="P29">
        <f t="shared" si="7"/>
        <v>12.507779337914599</v>
      </c>
    </row>
    <row r="30" spans="1:16" x14ac:dyDescent="0.3">
      <c r="A30" s="7">
        <v>2</v>
      </c>
      <c r="B30" s="7">
        <v>3</v>
      </c>
      <c r="C30">
        <v>3</v>
      </c>
      <c r="D30">
        <v>4</v>
      </c>
      <c r="E30" s="4">
        <v>9.92</v>
      </c>
      <c r="F30" s="7">
        <v>28</v>
      </c>
      <c r="G30" s="4">
        <f t="shared" si="0"/>
        <v>39.68</v>
      </c>
      <c r="H30" s="5">
        <f t="shared" si="4"/>
        <v>138.50399999999999</v>
      </c>
      <c r="I30" s="5">
        <f t="shared" si="5"/>
        <v>277.00799999999998</v>
      </c>
      <c r="J30" s="4">
        <f t="shared" si="1"/>
        <v>39.68</v>
      </c>
      <c r="K30" s="4">
        <f t="shared" si="2"/>
        <v>39.68</v>
      </c>
      <c r="L30">
        <f>ROW()</f>
        <v>30</v>
      </c>
      <c r="M30">
        <f t="shared" ca="1" si="3"/>
        <v>0.26443785655394147</v>
      </c>
      <c r="N30">
        <f t="shared" si="6"/>
        <v>571.53599999999994</v>
      </c>
      <c r="O30">
        <v>607.70718270349687</v>
      </c>
      <c r="P30">
        <f t="shared" si="7"/>
        <v>36.171182703496925</v>
      </c>
    </row>
    <row r="31" spans="1:16" x14ac:dyDescent="0.3">
      <c r="A31" s="7">
        <v>3</v>
      </c>
      <c r="B31" s="7">
        <v>3</v>
      </c>
      <c r="C31">
        <v>9</v>
      </c>
      <c r="D31">
        <v>3</v>
      </c>
      <c r="E31" s="4">
        <v>5.08</v>
      </c>
      <c r="F31" s="7">
        <v>34</v>
      </c>
      <c r="G31" s="4">
        <f t="shared" si="0"/>
        <v>15.24</v>
      </c>
      <c r="H31" s="5">
        <f t="shared" si="4"/>
        <v>51.576000000000001</v>
      </c>
      <c r="I31" s="5">
        <f t="shared" si="5"/>
        <v>154.72800000000001</v>
      </c>
      <c r="J31" s="4">
        <f t="shared" si="1"/>
        <v>15.24</v>
      </c>
      <c r="K31" s="4">
        <f t="shared" si="2"/>
        <v>15.24</v>
      </c>
      <c r="L31">
        <f>ROW()</f>
        <v>31</v>
      </c>
      <c r="M31">
        <f t="shared" ca="1" si="3"/>
        <v>0.43357313859234881</v>
      </c>
      <c r="N31">
        <f t="shared" si="6"/>
        <v>123.13800000000002</v>
      </c>
      <c r="O31">
        <v>151.96755256266624</v>
      </c>
      <c r="P31">
        <f t="shared" si="7"/>
        <v>28.829552562666223</v>
      </c>
    </row>
    <row r="32" spans="1:16" x14ac:dyDescent="0.3">
      <c r="A32" s="7">
        <v>3</v>
      </c>
      <c r="B32" s="7">
        <v>1</v>
      </c>
      <c r="C32">
        <v>9</v>
      </c>
      <c r="D32">
        <v>2</v>
      </c>
      <c r="E32" s="4">
        <v>7.71</v>
      </c>
      <c r="F32" s="7">
        <v>34</v>
      </c>
      <c r="G32" s="4">
        <f t="shared" si="0"/>
        <v>15.42</v>
      </c>
      <c r="H32" s="5">
        <f t="shared" si="4"/>
        <v>48.152999999999999</v>
      </c>
      <c r="I32" s="5">
        <f t="shared" si="5"/>
        <v>144.459</v>
      </c>
      <c r="J32" s="4">
        <f t="shared" si="1"/>
        <v>15.42</v>
      </c>
      <c r="K32" s="4">
        <f t="shared" si="2"/>
        <v>15.42</v>
      </c>
      <c r="L32">
        <f>ROW()</f>
        <v>32</v>
      </c>
      <c r="M32">
        <f t="shared" ca="1" si="3"/>
        <v>0.81740342443172465</v>
      </c>
      <c r="N32">
        <f t="shared" si="6"/>
        <v>100.03275000000001</v>
      </c>
      <c r="O32">
        <v>92.856418148961097</v>
      </c>
      <c r="P32">
        <f t="shared" si="7"/>
        <v>7.1763318510389098</v>
      </c>
    </row>
    <row r="33" spans="1:16" x14ac:dyDescent="0.3">
      <c r="A33" s="7">
        <v>5</v>
      </c>
      <c r="B33" s="7">
        <v>4</v>
      </c>
      <c r="C33">
        <v>6</v>
      </c>
      <c r="D33">
        <v>1</v>
      </c>
      <c r="E33" s="4">
        <v>3.66</v>
      </c>
      <c r="F33" s="7">
        <v>33</v>
      </c>
      <c r="G33" s="4">
        <f t="shared" si="0"/>
        <v>3.66</v>
      </c>
      <c r="H33" s="5">
        <f t="shared" si="4"/>
        <v>25.321199999999997</v>
      </c>
      <c r="I33" s="5">
        <f t="shared" si="5"/>
        <v>126.60599999999999</v>
      </c>
      <c r="J33" s="4">
        <f t="shared" si="1"/>
        <v>3.66</v>
      </c>
      <c r="K33" s="4">
        <f t="shared" si="2"/>
        <v>3.66</v>
      </c>
      <c r="L33">
        <f>ROW()</f>
        <v>33</v>
      </c>
      <c r="M33">
        <f t="shared" ca="1" si="3"/>
        <v>0.77206866103871363</v>
      </c>
      <c r="N33">
        <f t="shared" si="6"/>
        <v>59.863499999999988</v>
      </c>
      <c r="O33">
        <v>93.792417994947641</v>
      </c>
      <c r="P33">
        <f t="shared" si="7"/>
        <v>33.928917994947653</v>
      </c>
    </row>
    <row r="34" spans="1:16" x14ac:dyDescent="0.3">
      <c r="A34" s="7">
        <v>2</v>
      </c>
      <c r="B34" s="7">
        <v>5</v>
      </c>
      <c r="C34">
        <v>2</v>
      </c>
      <c r="D34">
        <v>1</v>
      </c>
      <c r="E34" s="4">
        <v>7.56</v>
      </c>
      <c r="F34" s="7">
        <v>33</v>
      </c>
      <c r="G34" s="4">
        <f t="shared" si="0"/>
        <v>7.56</v>
      </c>
      <c r="H34" s="5">
        <f t="shared" si="4"/>
        <v>73.211999999999989</v>
      </c>
      <c r="I34" s="5">
        <f t="shared" si="5"/>
        <v>146.42399999999998</v>
      </c>
      <c r="J34" s="4">
        <f t="shared" si="1"/>
        <v>7.56</v>
      </c>
      <c r="K34" s="4">
        <f t="shared" ref="K34:K65" si="8">D34*E34</f>
        <v>7.56</v>
      </c>
      <c r="L34">
        <f>ROW()</f>
        <v>34</v>
      </c>
      <c r="M34">
        <f t="shared" ca="1" si="3"/>
        <v>0.45515696475682155</v>
      </c>
      <c r="N34">
        <f t="shared" si="6"/>
        <v>104.45399999999995</v>
      </c>
      <c r="O34">
        <v>123.90550828957248</v>
      </c>
      <c r="P34">
        <f t="shared" si="7"/>
        <v>19.45150828957253</v>
      </c>
    </row>
    <row r="35" spans="1:16" x14ac:dyDescent="0.3">
      <c r="A35" s="7">
        <v>6</v>
      </c>
      <c r="B35" s="7">
        <v>5</v>
      </c>
      <c r="C35">
        <v>9</v>
      </c>
      <c r="D35">
        <v>5</v>
      </c>
      <c r="E35" s="4">
        <v>10.78</v>
      </c>
      <c r="F35" s="7">
        <v>28</v>
      </c>
      <c r="G35" s="4">
        <f t="shared" si="0"/>
        <v>53.9</v>
      </c>
      <c r="H35" s="5">
        <f t="shared" si="4"/>
        <v>77.524000000000001</v>
      </c>
      <c r="I35" s="5">
        <f t="shared" si="5"/>
        <v>465.14400000000001</v>
      </c>
      <c r="J35" s="4">
        <f t="shared" si="1"/>
        <v>53.9</v>
      </c>
      <c r="K35" s="4">
        <f t="shared" si="8"/>
        <v>53.9</v>
      </c>
      <c r="L35">
        <f>ROW()</f>
        <v>35</v>
      </c>
      <c r="M35">
        <f t="shared" ca="1" si="3"/>
        <v>0.31593732354687953</v>
      </c>
      <c r="N35">
        <f t="shared" si="6"/>
        <v>1418.1480000000001</v>
      </c>
      <c r="O35">
        <v>1351.7993195426591</v>
      </c>
      <c r="P35">
        <f t="shared" si="7"/>
        <v>66.348680457341061</v>
      </c>
    </row>
    <row r="36" spans="1:16" x14ac:dyDescent="0.3">
      <c r="A36" s="7">
        <v>5</v>
      </c>
      <c r="B36" s="7">
        <v>3</v>
      </c>
      <c r="C36">
        <v>2</v>
      </c>
      <c r="D36">
        <v>5</v>
      </c>
      <c r="E36" s="4">
        <v>6.21</v>
      </c>
      <c r="F36" s="7">
        <v>35</v>
      </c>
      <c r="G36" s="4">
        <f t="shared" si="0"/>
        <v>31.05</v>
      </c>
      <c r="H36" s="5">
        <f t="shared" si="4"/>
        <v>51.266399999999997</v>
      </c>
      <c r="I36" s="5">
        <f t="shared" si="5"/>
        <v>256.33199999999999</v>
      </c>
      <c r="J36" s="4">
        <f t="shared" si="1"/>
        <v>31.05</v>
      </c>
      <c r="K36" s="4">
        <f t="shared" si="8"/>
        <v>31.05</v>
      </c>
      <c r="L36">
        <f>ROW()</f>
        <v>36</v>
      </c>
      <c r="M36">
        <f t="shared" ca="1" si="3"/>
        <v>0.25810976321157086</v>
      </c>
      <c r="N36">
        <f t="shared" si="6"/>
        <v>478.49399999999997</v>
      </c>
      <c r="O36">
        <v>481.60582713872088</v>
      </c>
      <c r="P36">
        <f t="shared" si="7"/>
        <v>3.111827138720912</v>
      </c>
    </row>
    <row r="37" spans="1:16" x14ac:dyDescent="0.3">
      <c r="A37" s="7">
        <v>2</v>
      </c>
      <c r="B37" s="7">
        <v>2</v>
      </c>
      <c r="C37">
        <v>7</v>
      </c>
      <c r="D37">
        <v>1</v>
      </c>
      <c r="E37" s="4">
        <v>2.3199999999999998</v>
      </c>
      <c r="F37" s="7">
        <v>31</v>
      </c>
      <c r="G37" s="4">
        <f t="shared" si="0"/>
        <v>2.3199999999999998</v>
      </c>
      <c r="H37" s="5">
        <f t="shared" si="4"/>
        <v>26.716000000000001</v>
      </c>
      <c r="I37" s="5">
        <f t="shared" si="5"/>
        <v>53.432000000000002</v>
      </c>
      <c r="J37" s="4">
        <f t="shared" si="1"/>
        <v>2.3199999999999998</v>
      </c>
      <c r="K37" s="4">
        <f t="shared" si="8"/>
        <v>2.3199999999999998</v>
      </c>
      <c r="L37">
        <f>ROW()</f>
        <v>37</v>
      </c>
      <c r="M37">
        <f t="shared" ca="1" si="3"/>
        <v>0.64942100355381849</v>
      </c>
      <c r="N37">
        <f t="shared" si="6"/>
        <v>0</v>
      </c>
      <c r="O37">
        <v>-97.55161867362375</v>
      </c>
      <c r="P37">
        <f t="shared" si="7"/>
        <v>97.55161867362375</v>
      </c>
    </row>
    <row r="38" spans="1:16" x14ac:dyDescent="0.3">
      <c r="A38" s="7">
        <v>2</v>
      </c>
      <c r="B38" s="7">
        <v>2</v>
      </c>
      <c r="C38">
        <v>3</v>
      </c>
      <c r="D38">
        <v>2</v>
      </c>
      <c r="E38" s="4">
        <v>2.76</v>
      </c>
      <c r="F38" s="7">
        <v>32</v>
      </c>
      <c r="G38" s="4">
        <f t="shared" si="0"/>
        <v>5.52</v>
      </c>
      <c r="H38" s="5">
        <f t="shared" si="4"/>
        <v>34.043999999999997</v>
      </c>
      <c r="I38" s="5">
        <f t="shared" si="5"/>
        <v>68.087999999999994</v>
      </c>
      <c r="J38" s="4">
        <f t="shared" si="1"/>
        <v>5.52</v>
      </c>
      <c r="K38" s="4">
        <f t="shared" si="8"/>
        <v>5.52</v>
      </c>
      <c r="L38">
        <f>ROW()</f>
        <v>38</v>
      </c>
      <c r="M38">
        <f t="shared" ca="1" si="3"/>
        <v>0.68020721396107664</v>
      </c>
      <c r="N38">
        <f t="shared" si="6"/>
        <v>0</v>
      </c>
      <c r="O38">
        <v>-91.128977932657847</v>
      </c>
      <c r="P38">
        <f t="shared" si="7"/>
        <v>91.128977932657847</v>
      </c>
    </row>
    <row r="39" spans="1:16" x14ac:dyDescent="0.3">
      <c r="A39" s="7">
        <v>2</v>
      </c>
      <c r="B39" s="7">
        <v>2</v>
      </c>
      <c r="C39">
        <v>7</v>
      </c>
      <c r="D39">
        <v>2</v>
      </c>
      <c r="E39" s="4">
        <v>4.38</v>
      </c>
      <c r="F39" s="7">
        <v>36</v>
      </c>
      <c r="G39" s="4">
        <f t="shared" si="0"/>
        <v>8.76</v>
      </c>
      <c r="H39" s="5">
        <f t="shared" si="4"/>
        <v>46.974000000000004</v>
      </c>
      <c r="I39" s="5">
        <f t="shared" si="5"/>
        <v>93.948000000000008</v>
      </c>
      <c r="J39" s="4">
        <f t="shared" si="1"/>
        <v>8.76</v>
      </c>
      <c r="K39" s="4">
        <f t="shared" si="8"/>
        <v>8.76</v>
      </c>
      <c r="L39">
        <f>ROW()</f>
        <v>39</v>
      </c>
      <c r="M39">
        <f t="shared" ca="1" si="3"/>
        <v>0.49204750802140662</v>
      </c>
      <c r="N39">
        <f t="shared" si="6"/>
        <v>0</v>
      </c>
      <c r="O39">
        <v>-30.721333393643704</v>
      </c>
      <c r="P39">
        <f t="shared" si="7"/>
        <v>30.721333393643704</v>
      </c>
    </row>
    <row r="40" spans="1:16" x14ac:dyDescent="0.3">
      <c r="A40" s="7">
        <v>5</v>
      </c>
      <c r="B40" s="7">
        <v>1</v>
      </c>
      <c r="C40">
        <v>6</v>
      </c>
      <c r="D40">
        <v>4</v>
      </c>
      <c r="E40" s="4">
        <v>10.16</v>
      </c>
      <c r="F40" s="7">
        <v>33</v>
      </c>
      <c r="G40" s="4">
        <f t="shared" si="0"/>
        <v>40.64</v>
      </c>
      <c r="H40" s="5">
        <f t="shared" si="4"/>
        <v>58.281600000000005</v>
      </c>
      <c r="I40" s="5">
        <f t="shared" si="5"/>
        <v>291.40800000000002</v>
      </c>
      <c r="J40" s="4">
        <f t="shared" si="1"/>
        <v>40.64</v>
      </c>
      <c r="K40" s="4">
        <f t="shared" si="8"/>
        <v>40.64</v>
      </c>
      <c r="L40">
        <f>ROW()</f>
        <v>40</v>
      </c>
      <c r="M40">
        <f t="shared" ca="1" si="3"/>
        <v>0.4043845095010653</v>
      </c>
      <c r="N40">
        <f t="shared" si="6"/>
        <v>636.33600000000001</v>
      </c>
      <c r="O40">
        <v>608.76989519901622</v>
      </c>
      <c r="P40">
        <f t="shared" si="7"/>
        <v>27.566104800983794</v>
      </c>
    </row>
    <row r="41" spans="1:16" x14ac:dyDescent="0.3">
      <c r="A41" s="7">
        <v>3</v>
      </c>
      <c r="B41" s="7">
        <v>5</v>
      </c>
      <c r="C41">
        <v>6</v>
      </c>
      <c r="D41">
        <v>1</v>
      </c>
      <c r="E41" s="4">
        <v>2.91</v>
      </c>
      <c r="F41" s="7">
        <v>29</v>
      </c>
      <c r="G41" s="4">
        <f t="shared" si="0"/>
        <v>2.91</v>
      </c>
      <c r="H41" s="5">
        <f t="shared" si="4"/>
        <v>30.713999999999999</v>
      </c>
      <c r="I41" s="5">
        <f t="shared" si="5"/>
        <v>92.141999999999996</v>
      </c>
      <c r="J41" s="4">
        <f t="shared" si="1"/>
        <v>2.91</v>
      </c>
      <c r="K41" s="4">
        <f t="shared" si="8"/>
        <v>2.91</v>
      </c>
      <c r="L41">
        <f>ROW()</f>
        <v>41</v>
      </c>
      <c r="M41">
        <f t="shared" ca="1" si="3"/>
        <v>0.66785055903387303</v>
      </c>
      <c r="N41">
        <f t="shared" si="6"/>
        <v>0</v>
      </c>
      <c r="O41">
        <v>-16.130094324755191</v>
      </c>
      <c r="P41">
        <f t="shared" si="7"/>
        <v>16.130094324755191</v>
      </c>
    </row>
    <row r="42" spans="1:16" x14ac:dyDescent="0.3">
      <c r="A42" s="7">
        <v>2</v>
      </c>
      <c r="B42" s="7">
        <v>4</v>
      </c>
      <c r="C42">
        <v>2</v>
      </c>
      <c r="D42">
        <v>5</v>
      </c>
      <c r="E42" s="4">
        <v>9.5</v>
      </c>
      <c r="F42" s="7">
        <v>33</v>
      </c>
      <c r="G42" s="4">
        <f t="shared" si="0"/>
        <v>47.5</v>
      </c>
      <c r="H42" s="5">
        <f t="shared" si="4"/>
        <v>163.67500000000001</v>
      </c>
      <c r="I42" s="5">
        <f t="shared" si="5"/>
        <v>327.35000000000002</v>
      </c>
      <c r="J42" s="4">
        <f t="shared" si="1"/>
        <v>47.5</v>
      </c>
      <c r="K42" s="4">
        <f t="shared" si="8"/>
        <v>47.5</v>
      </c>
      <c r="L42">
        <f>ROW()</f>
        <v>42</v>
      </c>
      <c r="M42">
        <f t="shared" ca="1" si="3"/>
        <v>0.84221677213295987</v>
      </c>
      <c r="N42">
        <f t="shared" si="6"/>
        <v>798.07500000000005</v>
      </c>
      <c r="O42">
        <v>812.89388480072398</v>
      </c>
      <c r="P42">
        <f t="shared" si="7"/>
        <v>14.818884800723936</v>
      </c>
    </row>
    <row r="43" spans="1:16" x14ac:dyDescent="0.3">
      <c r="A43" s="7">
        <v>4</v>
      </c>
      <c r="B43" s="7">
        <v>3</v>
      </c>
      <c r="C43">
        <v>5</v>
      </c>
      <c r="D43">
        <v>5</v>
      </c>
      <c r="E43" s="4">
        <v>7.69</v>
      </c>
      <c r="F43" s="7">
        <v>34</v>
      </c>
      <c r="G43" s="4">
        <f t="shared" si="0"/>
        <v>38.450000000000003</v>
      </c>
      <c r="H43" s="5">
        <f t="shared" si="4"/>
        <v>72.290500000000009</v>
      </c>
      <c r="I43" s="5">
        <f t="shared" si="5"/>
        <v>289.16200000000003</v>
      </c>
      <c r="J43" s="4">
        <f t="shared" si="1"/>
        <v>38.450000000000003</v>
      </c>
      <c r="K43" s="4">
        <f t="shared" si="8"/>
        <v>38.450000000000003</v>
      </c>
      <c r="L43">
        <f>ROW()</f>
        <v>43</v>
      </c>
      <c r="M43">
        <f t="shared" ca="1" si="3"/>
        <v>0.40991938880043521</v>
      </c>
      <c r="N43">
        <f t="shared" si="6"/>
        <v>626.22900000000016</v>
      </c>
      <c r="O43">
        <v>629.04187370984323</v>
      </c>
      <c r="P43">
        <f t="shared" si="7"/>
        <v>2.8128737098430747</v>
      </c>
    </row>
    <row r="44" spans="1:16" x14ac:dyDescent="0.3">
      <c r="A44" s="7">
        <v>6</v>
      </c>
      <c r="B44" s="7">
        <v>5</v>
      </c>
      <c r="C44">
        <v>6</v>
      </c>
      <c r="D44">
        <v>1</v>
      </c>
      <c r="E44" s="4">
        <v>10.63</v>
      </c>
      <c r="F44" s="7">
        <v>31</v>
      </c>
      <c r="G44" s="4">
        <f t="shared" si="0"/>
        <v>10.63</v>
      </c>
      <c r="H44" s="5">
        <f t="shared" si="4"/>
        <v>43.701000000000001</v>
      </c>
      <c r="I44" s="5">
        <f t="shared" si="5"/>
        <v>262.20600000000002</v>
      </c>
      <c r="J44" s="4">
        <f t="shared" si="1"/>
        <v>10.63</v>
      </c>
      <c r="K44" s="4">
        <f t="shared" si="8"/>
        <v>10.63</v>
      </c>
      <c r="L44">
        <f>ROW()</f>
        <v>44</v>
      </c>
      <c r="M44">
        <f t="shared" ca="1" si="3"/>
        <v>0.25046855543205993</v>
      </c>
      <c r="N44">
        <f t="shared" si="6"/>
        <v>504.92700000000008</v>
      </c>
      <c r="O44">
        <v>491.14444518666369</v>
      </c>
      <c r="P44">
        <f t="shared" si="7"/>
        <v>13.78255481333639</v>
      </c>
    </row>
    <row r="45" spans="1:16" x14ac:dyDescent="0.3">
      <c r="A45" s="7">
        <v>5</v>
      </c>
      <c r="B45" s="7">
        <v>2</v>
      </c>
      <c r="C45">
        <v>3</v>
      </c>
      <c r="D45">
        <v>1</v>
      </c>
      <c r="E45" s="4">
        <v>4.17</v>
      </c>
      <c r="F45" s="7">
        <v>34</v>
      </c>
      <c r="G45" s="4">
        <f t="shared" si="0"/>
        <v>4.17</v>
      </c>
      <c r="H45" s="5">
        <f t="shared" si="4"/>
        <v>22.7562</v>
      </c>
      <c r="I45" s="5">
        <f t="shared" si="5"/>
        <v>113.78100000000001</v>
      </c>
      <c r="J45" s="4">
        <f t="shared" si="1"/>
        <v>4.17</v>
      </c>
      <c r="K45" s="4">
        <f t="shared" si="8"/>
        <v>4.17</v>
      </c>
      <c r="L45">
        <f>ROW()</f>
        <v>45</v>
      </c>
      <c r="M45">
        <f t="shared" ca="1" si="3"/>
        <v>0.17308694258007007</v>
      </c>
      <c r="N45">
        <f t="shared" si="6"/>
        <v>31.007250000000013</v>
      </c>
      <c r="O45">
        <v>55.854930165738097</v>
      </c>
      <c r="P45">
        <f t="shared" si="7"/>
        <v>24.847680165738083</v>
      </c>
    </row>
    <row r="46" spans="1:16" x14ac:dyDescent="0.3">
      <c r="A46" s="7">
        <v>5</v>
      </c>
      <c r="B46" s="7">
        <v>4</v>
      </c>
      <c r="C46">
        <v>2</v>
      </c>
      <c r="D46">
        <v>3</v>
      </c>
      <c r="E46" s="4">
        <v>8.98</v>
      </c>
      <c r="F46" s="7">
        <v>31</v>
      </c>
      <c r="G46" s="4">
        <f t="shared" si="0"/>
        <v>26.94</v>
      </c>
      <c r="H46" s="5">
        <f t="shared" si="4"/>
        <v>55.050800000000002</v>
      </c>
      <c r="I46" s="5">
        <f t="shared" si="5"/>
        <v>275.25400000000002</v>
      </c>
      <c r="J46" s="4">
        <f t="shared" si="1"/>
        <v>26.94</v>
      </c>
      <c r="K46" s="4">
        <f t="shared" si="8"/>
        <v>26.94</v>
      </c>
      <c r="L46">
        <f>ROW()</f>
        <v>46</v>
      </c>
      <c r="M46">
        <f t="shared" ca="1" si="3"/>
        <v>0.55167831944153856</v>
      </c>
      <c r="N46">
        <f t="shared" si="6"/>
        <v>563.64300000000003</v>
      </c>
      <c r="O46">
        <v>572.15037896174761</v>
      </c>
      <c r="P46">
        <f t="shared" si="7"/>
        <v>8.5073789617475768</v>
      </c>
    </row>
    <row r="47" spans="1:16" x14ac:dyDescent="0.3">
      <c r="A47" s="7">
        <v>3</v>
      </c>
      <c r="B47" s="7">
        <v>3</v>
      </c>
      <c r="C47">
        <v>6</v>
      </c>
      <c r="D47">
        <v>1</v>
      </c>
      <c r="E47" s="4">
        <v>7.85</v>
      </c>
      <c r="F47" s="7">
        <v>37</v>
      </c>
      <c r="G47" s="4">
        <f t="shared" si="0"/>
        <v>7.85</v>
      </c>
      <c r="H47" s="5">
        <f t="shared" si="4"/>
        <v>46.4</v>
      </c>
      <c r="I47" s="5">
        <f t="shared" si="5"/>
        <v>139.19999999999999</v>
      </c>
      <c r="J47" s="4">
        <f t="shared" si="1"/>
        <v>7.85</v>
      </c>
      <c r="K47" s="4">
        <f t="shared" si="8"/>
        <v>7.85</v>
      </c>
      <c r="L47">
        <f>ROW()</f>
        <v>47</v>
      </c>
      <c r="M47">
        <f t="shared" ca="1" si="3"/>
        <v>0.88446380526984603</v>
      </c>
      <c r="N47">
        <f t="shared" si="6"/>
        <v>88.199999999999974</v>
      </c>
      <c r="O47">
        <v>73.569336226410769</v>
      </c>
      <c r="P47">
        <f t="shared" si="7"/>
        <v>14.630663773589205</v>
      </c>
    </row>
    <row r="48" spans="1:16" x14ac:dyDescent="0.3">
      <c r="A48" s="7">
        <v>4</v>
      </c>
      <c r="B48" s="7">
        <v>5</v>
      </c>
      <c r="C48">
        <v>6</v>
      </c>
      <c r="D48">
        <v>4</v>
      </c>
      <c r="E48" s="4">
        <v>8.3699999999999992</v>
      </c>
      <c r="F48" s="7">
        <v>29</v>
      </c>
      <c r="G48" s="4">
        <f t="shared" si="0"/>
        <v>33.479999999999997</v>
      </c>
      <c r="H48" s="5">
        <f t="shared" si="4"/>
        <v>77.14725</v>
      </c>
      <c r="I48" s="5">
        <f t="shared" si="5"/>
        <v>308.589</v>
      </c>
      <c r="J48" s="4">
        <f t="shared" si="1"/>
        <v>33.479999999999997</v>
      </c>
      <c r="K48" s="4">
        <f t="shared" si="8"/>
        <v>33.479999999999997</v>
      </c>
      <c r="L48">
        <f>ROW()</f>
        <v>48</v>
      </c>
      <c r="M48">
        <f t="shared" ca="1" si="3"/>
        <v>0.83337234419703798</v>
      </c>
      <c r="N48">
        <f t="shared" si="6"/>
        <v>713.65049999999997</v>
      </c>
      <c r="O48">
        <v>726.10478001354647</v>
      </c>
      <c r="P48">
        <f t="shared" si="7"/>
        <v>12.454280013546509</v>
      </c>
    </row>
    <row r="49" spans="1:16" x14ac:dyDescent="0.3">
      <c r="A49" s="7">
        <v>5</v>
      </c>
      <c r="B49" s="7">
        <v>4</v>
      </c>
      <c r="C49">
        <v>2</v>
      </c>
      <c r="D49">
        <v>1</v>
      </c>
      <c r="E49" s="4">
        <v>7.92</v>
      </c>
      <c r="F49" s="7">
        <v>28</v>
      </c>
      <c r="G49" s="4">
        <f t="shared" si="0"/>
        <v>7.92</v>
      </c>
      <c r="H49" s="5">
        <f t="shared" si="4"/>
        <v>36.0672</v>
      </c>
      <c r="I49" s="5">
        <f t="shared" si="5"/>
        <v>180.33600000000001</v>
      </c>
      <c r="J49" s="4">
        <f t="shared" si="1"/>
        <v>7.92</v>
      </c>
      <c r="K49" s="4">
        <f t="shared" si="8"/>
        <v>7.92</v>
      </c>
      <c r="L49">
        <f>ROW()</f>
        <v>49</v>
      </c>
      <c r="M49">
        <f t="shared" ca="1" si="3"/>
        <v>0.60105307782796757</v>
      </c>
      <c r="N49">
        <f t="shared" si="6"/>
        <v>180.75600000000003</v>
      </c>
      <c r="O49">
        <v>222.50951464504033</v>
      </c>
      <c r="P49">
        <f t="shared" si="7"/>
        <v>41.753514645040298</v>
      </c>
    </row>
    <row r="50" spans="1:16" x14ac:dyDescent="0.3">
      <c r="A50" s="7">
        <v>5</v>
      </c>
      <c r="B50" s="7">
        <v>5</v>
      </c>
      <c r="C50">
        <v>9</v>
      </c>
      <c r="D50">
        <v>3</v>
      </c>
      <c r="E50" s="4">
        <v>11.15</v>
      </c>
      <c r="F50" s="7">
        <v>37</v>
      </c>
      <c r="G50" s="4">
        <f t="shared" si="0"/>
        <v>33.450000000000003</v>
      </c>
      <c r="H50" s="5">
        <f t="shared" si="4"/>
        <v>72.534000000000006</v>
      </c>
      <c r="I50" s="5">
        <f t="shared" si="5"/>
        <v>362.67</v>
      </c>
      <c r="J50" s="4">
        <f t="shared" si="1"/>
        <v>33.450000000000003</v>
      </c>
      <c r="K50" s="4">
        <f t="shared" si="8"/>
        <v>33.450000000000003</v>
      </c>
      <c r="L50">
        <f>ROW()</f>
        <v>50</v>
      </c>
      <c r="M50">
        <f t="shared" ca="1" si="3"/>
        <v>0.57567546798285851</v>
      </c>
      <c r="N50">
        <f t="shared" si="6"/>
        <v>957.0150000000001</v>
      </c>
      <c r="O50">
        <v>919.88431098498586</v>
      </c>
      <c r="P50">
        <f t="shared" si="7"/>
        <v>37.130689015014241</v>
      </c>
    </row>
    <row r="51" spans="1:16" x14ac:dyDescent="0.3">
      <c r="A51" s="7">
        <v>4</v>
      </c>
      <c r="B51" s="7">
        <v>3</v>
      </c>
      <c r="C51">
        <v>2</v>
      </c>
      <c r="D51">
        <v>3</v>
      </c>
      <c r="E51" s="4">
        <v>10.42</v>
      </c>
      <c r="F51" s="7">
        <v>27</v>
      </c>
      <c r="G51" s="4">
        <f t="shared" si="0"/>
        <v>31.259999999999998</v>
      </c>
      <c r="H51" s="5">
        <f t="shared" si="4"/>
        <v>67.620999999999995</v>
      </c>
      <c r="I51" s="5">
        <f t="shared" si="5"/>
        <v>270.48399999999998</v>
      </c>
      <c r="J51" s="4">
        <f t="shared" si="1"/>
        <v>31.259999999999998</v>
      </c>
      <c r="K51" s="4">
        <f t="shared" si="8"/>
        <v>31.259999999999998</v>
      </c>
      <c r="L51">
        <f>ROW()</f>
        <v>51</v>
      </c>
      <c r="M51">
        <f t="shared" ca="1" si="3"/>
        <v>0.62946265199680496</v>
      </c>
      <c r="N51">
        <f t="shared" si="6"/>
        <v>542.17799999999988</v>
      </c>
      <c r="O51">
        <v>546.78742170352643</v>
      </c>
      <c r="P51">
        <f t="shared" si="7"/>
        <v>4.6094217035265501</v>
      </c>
    </row>
    <row r="52" spans="1:16" x14ac:dyDescent="0.3">
      <c r="A52" s="7">
        <v>5</v>
      </c>
      <c r="B52" s="7">
        <v>1</v>
      </c>
      <c r="C52">
        <v>9</v>
      </c>
      <c r="D52">
        <v>3</v>
      </c>
      <c r="E52" s="4">
        <v>6.53</v>
      </c>
      <c r="F52" s="7">
        <v>36</v>
      </c>
      <c r="G52" s="4">
        <f t="shared" si="0"/>
        <v>19.59</v>
      </c>
      <c r="H52" s="5">
        <f t="shared" si="4"/>
        <v>37.724400000000003</v>
      </c>
      <c r="I52" s="5">
        <f t="shared" si="5"/>
        <v>188.62200000000001</v>
      </c>
      <c r="J52" s="4">
        <f t="shared" si="1"/>
        <v>19.59</v>
      </c>
      <c r="K52" s="4">
        <f t="shared" si="8"/>
        <v>19.59</v>
      </c>
      <c r="L52">
        <f>ROW()</f>
        <v>52</v>
      </c>
      <c r="M52">
        <f t="shared" ca="1" si="3"/>
        <v>0.19382239450557248</v>
      </c>
      <c r="N52">
        <f t="shared" si="6"/>
        <v>199.39950000000005</v>
      </c>
      <c r="O52">
        <v>254.04391231426791</v>
      </c>
      <c r="P52">
        <f t="shared" si="7"/>
        <v>54.644412314267868</v>
      </c>
    </row>
    <row r="53" spans="1:16" x14ac:dyDescent="0.3">
      <c r="A53" s="7">
        <v>6</v>
      </c>
      <c r="B53" s="7">
        <v>1</v>
      </c>
      <c r="C53">
        <v>2</v>
      </c>
      <c r="D53">
        <v>2</v>
      </c>
      <c r="E53" s="4">
        <v>11.1</v>
      </c>
      <c r="F53" s="7">
        <v>28</v>
      </c>
      <c r="G53" s="4">
        <f t="shared" si="0"/>
        <v>22.2</v>
      </c>
      <c r="H53" s="5">
        <f t="shared" si="4"/>
        <v>36.274999999999999</v>
      </c>
      <c r="I53" s="5">
        <f t="shared" si="5"/>
        <v>217.64999999999998</v>
      </c>
      <c r="J53" s="4">
        <f t="shared" si="1"/>
        <v>22.2</v>
      </c>
      <c r="K53" s="4">
        <f t="shared" si="8"/>
        <v>22.2</v>
      </c>
      <c r="L53">
        <f>ROW()</f>
        <v>53</v>
      </c>
      <c r="M53">
        <f t="shared" ca="1" si="3"/>
        <v>0.59444782748052916</v>
      </c>
      <c r="N53">
        <f t="shared" si="6"/>
        <v>304.4249999999999</v>
      </c>
      <c r="O53">
        <v>264.63713264957346</v>
      </c>
      <c r="P53">
        <f t="shared" si="7"/>
        <v>39.787867350426438</v>
      </c>
    </row>
    <row r="54" spans="1:16" x14ac:dyDescent="0.3">
      <c r="A54" s="7">
        <v>4</v>
      </c>
      <c r="B54" s="7">
        <v>2</v>
      </c>
      <c r="C54">
        <v>4</v>
      </c>
      <c r="D54">
        <v>4</v>
      </c>
      <c r="E54" s="4">
        <v>10.050000000000001</v>
      </c>
      <c r="F54" s="7">
        <v>37</v>
      </c>
      <c r="G54" s="4">
        <f t="shared" si="0"/>
        <v>40.200000000000003</v>
      </c>
      <c r="H54" s="5">
        <f t="shared" si="4"/>
        <v>72.787499999999994</v>
      </c>
      <c r="I54" s="5">
        <f t="shared" si="5"/>
        <v>291.14999999999998</v>
      </c>
      <c r="J54" s="4">
        <f t="shared" si="1"/>
        <v>40.200000000000003</v>
      </c>
      <c r="K54" s="4">
        <f t="shared" si="8"/>
        <v>40.200000000000003</v>
      </c>
      <c r="L54">
        <f>ROW()</f>
        <v>54</v>
      </c>
      <c r="M54">
        <f t="shared" ca="1" si="3"/>
        <v>0.96023421859343094</v>
      </c>
      <c r="N54">
        <f t="shared" si="6"/>
        <v>635.17499999999995</v>
      </c>
      <c r="O54">
        <v>621.63956043117514</v>
      </c>
      <c r="P54">
        <f t="shared" si="7"/>
        <v>13.535439568824813</v>
      </c>
    </row>
    <row r="55" spans="1:16" x14ac:dyDescent="0.3">
      <c r="A55" s="7">
        <v>6</v>
      </c>
      <c r="B55" s="7">
        <v>3</v>
      </c>
      <c r="C55">
        <v>9</v>
      </c>
      <c r="D55">
        <v>4</v>
      </c>
      <c r="E55" s="4">
        <v>5.5</v>
      </c>
      <c r="F55" s="7">
        <v>32</v>
      </c>
      <c r="G55" s="4">
        <f t="shared" si="0"/>
        <v>22</v>
      </c>
      <c r="H55" s="5">
        <f t="shared" si="4"/>
        <v>38.925000000000004</v>
      </c>
      <c r="I55" s="5">
        <f t="shared" si="5"/>
        <v>233.55</v>
      </c>
      <c r="J55" s="4">
        <f t="shared" si="1"/>
        <v>22</v>
      </c>
      <c r="K55" s="4">
        <f t="shared" si="8"/>
        <v>22</v>
      </c>
      <c r="L55">
        <f>ROW()</f>
        <v>55</v>
      </c>
      <c r="M55">
        <f t="shared" ca="1" si="3"/>
        <v>0.30517540384075692</v>
      </c>
      <c r="N55">
        <f t="shared" si="6"/>
        <v>375.97500000000002</v>
      </c>
      <c r="O55">
        <v>405.73766463940706</v>
      </c>
      <c r="P55">
        <f t="shared" si="7"/>
        <v>29.762664639407035</v>
      </c>
    </row>
    <row r="56" spans="1:16" x14ac:dyDescent="0.3">
      <c r="A56" s="7">
        <v>6</v>
      </c>
      <c r="B56" s="7">
        <v>3</v>
      </c>
      <c r="C56">
        <v>4</v>
      </c>
      <c r="D56">
        <v>5</v>
      </c>
      <c r="E56" s="4">
        <v>6.11</v>
      </c>
      <c r="F56" s="7">
        <v>26</v>
      </c>
      <c r="G56" s="4">
        <f t="shared" si="0"/>
        <v>30.55</v>
      </c>
      <c r="H56" s="5">
        <f t="shared" si="4"/>
        <v>45.142666666666663</v>
      </c>
      <c r="I56" s="5">
        <f t="shared" si="5"/>
        <v>270.85599999999999</v>
      </c>
      <c r="J56" s="4">
        <f t="shared" si="1"/>
        <v>30.55</v>
      </c>
      <c r="K56" s="4">
        <f t="shared" si="8"/>
        <v>30.55</v>
      </c>
      <c r="L56">
        <f>ROW()</f>
        <v>56</v>
      </c>
      <c r="M56">
        <f t="shared" ca="1" si="3"/>
        <v>0.19944074450938154</v>
      </c>
      <c r="N56">
        <f t="shared" si="6"/>
        <v>543.85199999999998</v>
      </c>
      <c r="O56">
        <v>539.26890679890187</v>
      </c>
      <c r="P56">
        <f t="shared" si="7"/>
        <v>4.5830932010981087</v>
      </c>
    </row>
    <row r="57" spans="1:16" x14ac:dyDescent="0.3">
      <c r="A57" s="7">
        <v>6</v>
      </c>
      <c r="B57" s="7">
        <v>1</v>
      </c>
      <c r="C57">
        <v>5</v>
      </c>
      <c r="D57">
        <v>2</v>
      </c>
      <c r="E57" s="4">
        <v>4.8</v>
      </c>
      <c r="F57" s="7">
        <v>32</v>
      </c>
      <c r="G57" s="4">
        <f t="shared" si="0"/>
        <v>9.6</v>
      </c>
      <c r="H57" s="5">
        <f t="shared" si="4"/>
        <v>24.679999999999996</v>
      </c>
      <c r="I57" s="5">
        <f t="shared" si="5"/>
        <v>148.07999999999998</v>
      </c>
      <c r="J57" s="4">
        <f t="shared" si="1"/>
        <v>9.6</v>
      </c>
      <c r="K57" s="4">
        <f t="shared" si="8"/>
        <v>9.6</v>
      </c>
      <c r="L57">
        <f>ROW()</f>
        <v>57</v>
      </c>
      <c r="M57">
        <f t="shared" ca="1" si="3"/>
        <v>0.47973393713153689</v>
      </c>
      <c r="N57">
        <f t="shared" si="6"/>
        <v>108.17999999999996</v>
      </c>
      <c r="O57">
        <v>145.31970207530685</v>
      </c>
      <c r="P57">
        <f t="shared" si="7"/>
        <v>37.139702075306886</v>
      </c>
    </row>
    <row r="58" spans="1:16" x14ac:dyDescent="0.3">
      <c r="A58" s="7">
        <v>6</v>
      </c>
      <c r="B58" s="7">
        <v>1</v>
      </c>
      <c r="C58">
        <v>2</v>
      </c>
      <c r="D58">
        <v>1</v>
      </c>
      <c r="E58" s="4">
        <v>10.38</v>
      </c>
      <c r="F58" s="7">
        <v>29</v>
      </c>
      <c r="G58" s="4">
        <f t="shared" si="0"/>
        <v>10.38</v>
      </c>
      <c r="H58" s="5">
        <f t="shared" si="4"/>
        <v>27.11</v>
      </c>
      <c r="I58" s="5">
        <f t="shared" si="5"/>
        <v>162.66</v>
      </c>
      <c r="J58" s="4">
        <f t="shared" si="1"/>
        <v>10.38</v>
      </c>
      <c r="K58" s="4">
        <f t="shared" si="8"/>
        <v>10.38</v>
      </c>
      <c r="L58">
        <f>ROW()</f>
        <v>58</v>
      </c>
      <c r="M58">
        <f t="shared" ca="1" si="3"/>
        <v>0.6797979293342542</v>
      </c>
      <c r="N58">
        <f t="shared" si="6"/>
        <v>140.98499999999999</v>
      </c>
      <c r="O58">
        <v>54.247792425508806</v>
      </c>
      <c r="P58">
        <f t="shared" si="7"/>
        <v>86.73720757449118</v>
      </c>
    </row>
    <row r="59" spans="1:16" x14ac:dyDescent="0.3">
      <c r="A59" s="7">
        <v>2</v>
      </c>
      <c r="B59" s="7">
        <v>1</v>
      </c>
      <c r="C59">
        <v>3</v>
      </c>
      <c r="D59">
        <v>5</v>
      </c>
      <c r="E59" s="4">
        <v>6.36</v>
      </c>
      <c r="F59" s="7">
        <v>30</v>
      </c>
      <c r="G59" s="4">
        <f t="shared" si="0"/>
        <v>31.8</v>
      </c>
      <c r="H59" s="5">
        <f t="shared" si="4"/>
        <v>95.135999999999996</v>
      </c>
      <c r="I59" s="5">
        <f t="shared" si="5"/>
        <v>190.27199999999999</v>
      </c>
      <c r="J59" s="4">
        <f t="shared" si="1"/>
        <v>31.8</v>
      </c>
      <c r="K59" s="4">
        <f t="shared" si="8"/>
        <v>31.8</v>
      </c>
      <c r="L59">
        <f>ROW()</f>
        <v>59</v>
      </c>
      <c r="M59">
        <f t="shared" ca="1" si="3"/>
        <v>0.82407449690277446</v>
      </c>
      <c r="N59">
        <f t="shared" si="6"/>
        <v>203.11199999999997</v>
      </c>
      <c r="O59">
        <v>267.48005214263878</v>
      </c>
      <c r="P59">
        <f t="shared" si="7"/>
        <v>64.368052142638817</v>
      </c>
    </row>
    <row r="60" spans="1:16" x14ac:dyDescent="0.3">
      <c r="A60" s="7">
        <v>3</v>
      </c>
      <c r="B60" s="7">
        <v>1</v>
      </c>
      <c r="C60">
        <v>7</v>
      </c>
      <c r="D60">
        <v>3</v>
      </c>
      <c r="E60" s="4">
        <v>2.14</v>
      </c>
      <c r="F60" s="7">
        <v>31</v>
      </c>
      <c r="G60" s="4">
        <f t="shared" si="0"/>
        <v>6.42</v>
      </c>
      <c r="H60" s="5">
        <f t="shared" si="4"/>
        <v>27.126666666666665</v>
      </c>
      <c r="I60" s="5">
        <f t="shared" si="5"/>
        <v>81.38</v>
      </c>
      <c r="J60" s="4">
        <f t="shared" si="1"/>
        <v>6.42</v>
      </c>
      <c r="K60" s="4">
        <f t="shared" si="8"/>
        <v>6.42</v>
      </c>
      <c r="L60">
        <f>ROW()</f>
        <v>60</v>
      </c>
      <c r="M60">
        <f t="shared" ca="1" si="3"/>
        <v>0.42419653454429473</v>
      </c>
      <c r="N60">
        <f t="shared" si="6"/>
        <v>0</v>
      </c>
      <c r="O60">
        <v>-67.442059023158606</v>
      </c>
      <c r="P60">
        <f t="shared" si="7"/>
        <v>67.442059023158606</v>
      </c>
    </row>
    <row r="61" spans="1:16" x14ac:dyDescent="0.3">
      <c r="A61" s="7">
        <v>5</v>
      </c>
      <c r="B61" s="7">
        <v>4</v>
      </c>
      <c r="C61">
        <v>9</v>
      </c>
      <c r="D61">
        <v>4</v>
      </c>
      <c r="E61" s="4">
        <v>5.23</v>
      </c>
      <c r="F61" s="7">
        <v>36</v>
      </c>
      <c r="G61" s="4">
        <f t="shared" si="0"/>
        <v>20.92</v>
      </c>
      <c r="H61" s="5">
        <f t="shared" si="4"/>
        <v>44.497200000000007</v>
      </c>
      <c r="I61" s="5">
        <f t="shared" si="5"/>
        <v>222.48600000000002</v>
      </c>
      <c r="J61" s="4">
        <f t="shared" si="1"/>
        <v>20.92</v>
      </c>
      <c r="K61" s="4">
        <f t="shared" si="8"/>
        <v>20.92</v>
      </c>
      <c r="L61">
        <f>ROW()</f>
        <v>61</v>
      </c>
      <c r="M61">
        <f t="shared" ca="1" si="3"/>
        <v>0.27277101692555417</v>
      </c>
      <c r="N61">
        <f t="shared" si="6"/>
        <v>326.18700000000007</v>
      </c>
      <c r="O61">
        <v>361.0491840489484</v>
      </c>
      <c r="P61">
        <f t="shared" si="7"/>
        <v>34.862184048948336</v>
      </c>
    </row>
    <row r="62" spans="1:16" x14ac:dyDescent="0.3">
      <c r="A62" s="7">
        <v>3</v>
      </c>
      <c r="B62" s="7">
        <v>4</v>
      </c>
      <c r="C62">
        <v>2</v>
      </c>
      <c r="D62">
        <v>4</v>
      </c>
      <c r="E62" s="4">
        <v>11.25</v>
      </c>
      <c r="F62" s="7">
        <v>26</v>
      </c>
      <c r="G62" s="4">
        <f t="shared" si="0"/>
        <v>45</v>
      </c>
      <c r="H62" s="5">
        <f t="shared" si="4"/>
        <v>115.5</v>
      </c>
      <c r="I62" s="5">
        <f t="shared" si="5"/>
        <v>346.5</v>
      </c>
      <c r="J62" s="4">
        <f t="shared" si="1"/>
        <v>45</v>
      </c>
      <c r="K62" s="4">
        <f t="shared" si="8"/>
        <v>45</v>
      </c>
      <c r="L62">
        <f>ROW()</f>
        <v>62</v>
      </c>
      <c r="M62">
        <f t="shared" ca="1" si="3"/>
        <v>0.23398894930409886</v>
      </c>
      <c r="N62">
        <f t="shared" si="6"/>
        <v>884.25</v>
      </c>
      <c r="O62">
        <v>880.18889360526873</v>
      </c>
      <c r="P62">
        <f t="shared" si="7"/>
        <v>4.0611063947312687</v>
      </c>
    </row>
    <row r="63" spans="1:16" x14ac:dyDescent="0.3">
      <c r="A63" s="7">
        <v>4</v>
      </c>
      <c r="B63" s="7">
        <v>2</v>
      </c>
      <c r="C63">
        <v>8</v>
      </c>
      <c r="D63">
        <v>3</v>
      </c>
      <c r="E63" s="4">
        <v>6</v>
      </c>
      <c r="F63" s="7">
        <v>34</v>
      </c>
      <c r="G63" s="4">
        <f t="shared" si="0"/>
        <v>18</v>
      </c>
      <c r="H63" s="5">
        <f t="shared" si="4"/>
        <v>43.95</v>
      </c>
      <c r="I63" s="5">
        <f t="shared" si="5"/>
        <v>175.8</v>
      </c>
      <c r="J63" s="4">
        <f t="shared" si="1"/>
        <v>18</v>
      </c>
      <c r="K63" s="4">
        <f t="shared" si="8"/>
        <v>18</v>
      </c>
      <c r="L63">
        <f>ROW()</f>
        <v>63</v>
      </c>
      <c r="M63">
        <f t="shared" ca="1" si="3"/>
        <v>0.98413475804395123</v>
      </c>
      <c r="N63">
        <f t="shared" si="6"/>
        <v>170.55</v>
      </c>
      <c r="O63">
        <v>220.54347561556949</v>
      </c>
      <c r="P63">
        <f t="shared" si="7"/>
        <v>49.99347561556948</v>
      </c>
    </row>
    <row r="64" spans="1:16" x14ac:dyDescent="0.3">
      <c r="A64" s="7">
        <v>6</v>
      </c>
      <c r="B64" s="7">
        <v>1</v>
      </c>
      <c r="C64">
        <v>4</v>
      </c>
      <c r="D64">
        <v>5</v>
      </c>
      <c r="E64" s="4">
        <v>7.28</v>
      </c>
      <c r="F64" s="7">
        <v>29</v>
      </c>
      <c r="G64" s="4">
        <f t="shared" si="0"/>
        <v>36.4</v>
      </c>
      <c r="H64" s="5">
        <f t="shared" si="4"/>
        <v>45.818666666666665</v>
      </c>
      <c r="I64" s="5">
        <f t="shared" si="5"/>
        <v>274.91199999999998</v>
      </c>
      <c r="J64" s="4">
        <f t="shared" si="1"/>
        <v>36.4</v>
      </c>
      <c r="K64" s="4">
        <f t="shared" si="8"/>
        <v>36.4</v>
      </c>
      <c r="L64">
        <f>ROW()</f>
        <v>64</v>
      </c>
      <c r="M64">
        <f t="shared" ca="1" si="3"/>
        <v>0.71202094899107782</v>
      </c>
      <c r="N64">
        <f t="shared" si="6"/>
        <v>562.10399999999993</v>
      </c>
      <c r="O64">
        <v>555.48680677208392</v>
      </c>
      <c r="P64">
        <f t="shared" si="7"/>
        <v>6.6171932279160046</v>
      </c>
    </row>
    <row r="65" spans="1:16" x14ac:dyDescent="0.3">
      <c r="A65" s="7">
        <v>3</v>
      </c>
      <c r="B65" s="7">
        <v>4</v>
      </c>
      <c r="C65">
        <v>4</v>
      </c>
      <c r="D65">
        <v>4</v>
      </c>
      <c r="E65" s="4">
        <v>2.75</v>
      </c>
      <c r="F65" s="7">
        <v>30</v>
      </c>
      <c r="G65" s="4">
        <f t="shared" si="0"/>
        <v>11</v>
      </c>
      <c r="H65" s="5">
        <f t="shared" si="4"/>
        <v>39.93333333333333</v>
      </c>
      <c r="I65" s="5">
        <f t="shared" si="5"/>
        <v>119.8</v>
      </c>
      <c r="J65" s="4">
        <f t="shared" si="1"/>
        <v>11</v>
      </c>
      <c r="K65" s="4">
        <f t="shared" si="8"/>
        <v>11</v>
      </c>
      <c r="L65">
        <f>ROW()</f>
        <v>65</v>
      </c>
      <c r="M65">
        <f t="shared" ca="1" si="3"/>
        <v>0.5433418618645417</v>
      </c>
      <c r="N65">
        <f t="shared" si="6"/>
        <v>44.55</v>
      </c>
      <c r="O65">
        <v>-13.713980206233941</v>
      </c>
      <c r="P65">
        <f t="shared" si="7"/>
        <v>58.263980206233938</v>
      </c>
    </row>
    <row r="66" spans="1:16" x14ac:dyDescent="0.3">
      <c r="A66" s="7">
        <v>4</v>
      </c>
      <c r="B66" s="7">
        <v>5</v>
      </c>
      <c r="C66">
        <v>8</v>
      </c>
      <c r="D66">
        <v>1</v>
      </c>
      <c r="E66" s="4">
        <v>2.83</v>
      </c>
      <c r="F66" s="7">
        <v>30</v>
      </c>
      <c r="G66" s="4">
        <f t="shared" ref="G66:G121" si="9">E66*D66</f>
        <v>2.83</v>
      </c>
      <c r="H66" s="5">
        <f t="shared" si="4"/>
        <v>26.744500000000002</v>
      </c>
      <c r="I66" s="5">
        <f t="shared" si="5"/>
        <v>106.97800000000001</v>
      </c>
      <c r="J66" s="4">
        <f t="shared" ref="J66:J121" si="10">D66*E66</f>
        <v>2.83</v>
      </c>
      <c r="K66" s="4">
        <f t="shared" ref="K66:K97" si="11">D66*E66</f>
        <v>2.83</v>
      </c>
      <c r="L66">
        <f>ROW()</f>
        <v>66</v>
      </c>
      <c r="M66">
        <f t="shared" ref="M66:M121" ca="1" si="12">RAND()</f>
        <v>2.1341820182101845E-2</v>
      </c>
      <c r="N66">
        <f t="shared" si="6"/>
        <v>15.700500000000019</v>
      </c>
      <c r="O66">
        <v>29.674527685768339</v>
      </c>
      <c r="P66">
        <f t="shared" si="7"/>
        <v>13.97402768576832</v>
      </c>
    </row>
    <row r="67" spans="1:16" x14ac:dyDescent="0.3">
      <c r="A67" s="7">
        <v>2</v>
      </c>
      <c r="B67" s="7">
        <v>5</v>
      </c>
      <c r="C67">
        <v>9</v>
      </c>
      <c r="D67">
        <v>5</v>
      </c>
      <c r="E67" s="4">
        <v>6.76</v>
      </c>
      <c r="F67" s="7">
        <v>36</v>
      </c>
      <c r="G67" s="4">
        <f t="shared" si="9"/>
        <v>33.799999999999997</v>
      </c>
      <c r="H67" s="5">
        <f t="shared" ref="H67:H121" si="13">I67/A67</f>
        <v>132.624</v>
      </c>
      <c r="I67" s="5">
        <f t="shared" ref="I67:I121" si="14" xml:space="preserve"> (B67*E67*2.1)  + (C67*E67*0.2) +(D67*E67*4.5)+(A67*15)</f>
        <v>265.24799999999999</v>
      </c>
      <c r="J67" s="4">
        <f t="shared" si="10"/>
        <v>33.799999999999997</v>
      </c>
      <c r="K67" s="4">
        <f t="shared" si="11"/>
        <v>33.799999999999997</v>
      </c>
      <c r="L67">
        <f>ROW()</f>
        <v>67</v>
      </c>
      <c r="M67">
        <f t="shared" ca="1" si="12"/>
        <v>0.10089380756491084</v>
      </c>
      <c r="N67">
        <f t="shared" ref="N67:N123" si="15">IF(I67&lt;=100,0,
IF(I67&lt;=200,(I67-100)*2.25,
IF(I67&lt;=500,(100*2.25)+((I67-200)*4.5),
(100*2.25)+(300*4.5)+((I67-500)*6.5))))</f>
        <v>518.61599999999999</v>
      </c>
      <c r="O67">
        <v>548.3690646444702</v>
      </c>
      <c r="P67">
        <f t="shared" ref="P67:P121" si="16">ABS(O67-N67)</f>
        <v>29.753064644470214</v>
      </c>
    </row>
    <row r="68" spans="1:16" x14ac:dyDescent="0.3">
      <c r="A68" s="7">
        <v>4</v>
      </c>
      <c r="B68" s="7">
        <v>1</v>
      </c>
      <c r="C68">
        <v>5</v>
      </c>
      <c r="D68">
        <v>3</v>
      </c>
      <c r="E68" s="4">
        <v>5.78</v>
      </c>
      <c r="F68" s="7">
        <v>28</v>
      </c>
      <c r="G68" s="4">
        <f t="shared" si="9"/>
        <v>17.34</v>
      </c>
      <c r="H68" s="5">
        <f t="shared" si="13"/>
        <v>38.987000000000002</v>
      </c>
      <c r="I68" s="5">
        <f t="shared" si="14"/>
        <v>155.94800000000001</v>
      </c>
      <c r="J68" s="4">
        <f t="shared" si="10"/>
        <v>17.34</v>
      </c>
      <c r="K68" s="4">
        <f t="shared" si="11"/>
        <v>17.34</v>
      </c>
      <c r="L68">
        <f>ROW()</f>
        <v>68</v>
      </c>
      <c r="M68">
        <f t="shared" ca="1" si="12"/>
        <v>0.41961423765431272</v>
      </c>
      <c r="N68">
        <f t="shared" si="15"/>
        <v>125.88300000000001</v>
      </c>
      <c r="O68">
        <v>157.89041151290326</v>
      </c>
      <c r="P68">
        <f t="shared" si="16"/>
        <v>32.007411512903246</v>
      </c>
    </row>
    <row r="69" spans="1:16" x14ac:dyDescent="0.3">
      <c r="A69" s="7">
        <v>6</v>
      </c>
      <c r="B69" s="7">
        <v>1</v>
      </c>
      <c r="C69">
        <v>9</v>
      </c>
      <c r="D69">
        <v>5</v>
      </c>
      <c r="E69" s="4">
        <v>10.37</v>
      </c>
      <c r="F69" s="7">
        <v>26</v>
      </c>
      <c r="G69" s="4">
        <f t="shared" si="9"/>
        <v>51.849999999999994</v>
      </c>
      <c r="H69" s="5">
        <f t="shared" si="13"/>
        <v>60.627999999999993</v>
      </c>
      <c r="I69" s="5">
        <f t="shared" si="14"/>
        <v>363.76799999999997</v>
      </c>
      <c r="J69" s="4">
        <f t="shared" si="10"/>
        <v>51.849999999999994</v>
      </c>
      <c r="K69" s="4">
        <f t="shared" si="11"/>
        <v>51.849999999999994</v>
      </c>
      <c r="L69">
        <f>ROW()</f>
        <v>69</v>
      </c>
      <c r="M69">
        <f t="shared" ca="1" si="12"/>
        <v>0.48360437580476856</v>
      </c>
      <c r="N69">
        <f t="shared" si="15"/>
        <v>961.9559999999999</v>
      </c>
      <c r="O69">
        <v>905.29859225503515</v>
      </c>
      <c r="P69">
        <f t="shared" si="16"/>
        <v>56.657407744964758</v>
      </c>
    </row>
    <row r="70" spans="1:16" x14ac:dyDescent="0.3">
      <c r="A70" s="7">
        <v>6</v>
      </c>
      <c r="B70" s="7">
        <v>3</v>
      </c>
      <c r="C70">
        <v>2</v>
      </c>
      <c r="D70">
        <v>2</v>
      </c>
      <c r="E70" s="4">
        <v>7.13</v>
      </c>
      <c r="F70" s="7">
        <v>27</v>
      </c>
      <c r="G70" s="4">
        <f t="shared" si="9"/>
        <v>14.26</v>
      </c>
      <c r="H70" s="5">
        <f t="shared" si="13"/>
        <v>33.656833333333331</v>
      </c>
      <c r="I70" s="5">
        <f t="shared" si="14"/>
        <v>201.941</v>
      </c>
      <c r="J70" s="4">
        <f t="shared" si="10"/>
        <v>14.26</v>
      </c>
      <c r="K70" s="4">
        <f t="shared" si="11"/>
        <v>14.26</v>
      </c>
      <c r="L70">
        <f>ROW()</f>
        <v>70</v>
      </c>
      <c r="M70">
        <f t="shared" ca="1" si="12"/>
        <v>0.16732294909605361</v>
      </c>
      <c r="N70">
        <f t="shared" si="15"/>
        <v>233.73450000000003</v>
      </c>
      <c r="O70">
        <v>303.9524010368591</v>
      </c>
      <c r="P70">
        <f t="shared" si="16"/>
        <v>70.217901036859075</v>
      </c>
    </row>
    <row r="71" spans="1:16" x14ac:dyDescent="0.3">
      <c r="A71" s="7">
        <v>5</v>
      </c>
      <c r="B71" s="7">
        <v>4</v>
      </c>
      <c r="C71">
        <v>9</v>
      </c>
      <c r="D71">
        <v>4</v>
      </c>
      <c r="E71" s="4">
        <v>6.82</v>
      </c>
      <c r="F71" s="7">
        <v>32</v>
      </c>
      <c r="G71" s="4">
        <f t="shared" si="9"/>
        <v>27.28</v>
      </c>
      <c r="H71" s="5">
        <f t="shared" si="13"/>
        <v>53.464800000000004</v>
      </c>
      <c r="I71" s="5">
        <f t="shared" si="14"/>
        <v>267.32400000000001</v>
      </c>
      <c r="J71" s="4">
        <f t="shared" si="10"/>
        <v>27.28</v>
      </c>
      <c r="K71" s="4">
        <f t="shared" si="11"/>
        <v>27.28</v>
      </c>
      <c r="L71">
        <f>ROW()</f>
        <v>71</v>
      </c>
      <c r="M71">
        <f t="shared" ca="1" si="12"/>
        <v>0.82624312157915225</v>
      </c>
      <c r="N71">
        <f t="shared" si="15"/>
        <v>527.95800000000008</v>
      </c>
      <c r="O71">
        <v>545.35242437150612</v>
      </c>
      <c r="P71">
        <f t="shared" si="16"/>
        <v>17.394424371506034</v>
      </c>
    </row>
    <row r="72" spans="1:16" x14ac:dyDescent="0.3">
      <c r="A72" s="7">
        <v>6</v>
      </c>
      <c r="B72" s="7">
        <v>1</v>
      </c>
      <c r="C72">
        <v>9</v>
      </c>
      <c r="D72">
        <v>3</v>
      </c>
      <c r="E72" s="4">
        <v>8.9499999999999993</v>
      </c>
      <c r="F72" s="7">
        <v>37</v>
      </c>
      <c r="G72" s="4">
        <f t="shared" si="9"/>
        <v>26.849999999999998</v>
      </c>
      <c r="H72" s="5">
        <f t="shared" si="13"/>
        <v>40.954999999999998</v>
      </c>
      <c r="I72" s="5">
        <f t="shared" si="14"/>
        <v>245.73</v>
      </c>
      <c r="J72" s="4">
        <f t="shared" si="10"/>
        <v>26.849999999999998</v>
      </c>
      <c r="K72" s="4">
        <f t="shared" si="11"/>
        <v>26.849999999999998</v>
      </c>
      <c r="L72">
        <f>ROW()</f>
        <v>72</v>
      </c>
      <c r="M72">
        <f t="shared" ca="1" si="12"/>
        <v>0.17139615880102088</v>
      </c>
      <c r="N72">
        <f t="shared" si="15"/>
        <v>430.78499999999997</v>
      </c>
      <c r="O72">
        <v>427.94590228747143</v>
      </c>
      <c r="P72">
        <f t="shared" si="16"/>
        <v>2.8390977125285417</v>
      </c>
    </row>
    <row r="73" spans="1:16" x14ac:dyDescent="0.3">
      <c r="A73" s="7">
        <v>5</v>
      </c>
      <c r="B73" s="7">
        <v>1</v>
      </c>
      <c r="C73">
        <v>9</v>
      </c>
      <c r="D73">
        <v>4</v>
      </c>
      <c r="E73" s="4">
        <v>9.67</v>
      </c>
      <c r="F73" s="7">
        <v>27</v>
      </c>
      <c r="G73" s="4">
        <f t="shared" si="9"/>
        <v>38.68</v>
      </c>
      <c r="H73" s="5">
        <f t="shared" si="13"/>
        <v>57.354600000000005</v>
      </c>
      <c r="I73" s="5">
        <f t="shared" si="14"/>
        <v>286.77300000000002</v>
      </c>
      <c r="J73" s="4">
        <f t="shared" si="10"/>
        <v>38.68</v>
      </c>
      <c r="K73" s="4">
        <f t="shared" si="11"/>
        <v>38.68</v>
      </c>
      <c r="L73">
        <f>ROW()</f>
        <v>73</v>
      </c>
      <c r="M73">
        <f t="shared" ca="1" si="12"/>
        <v>0.83926302544871989</v>
      </c>
      <c r="N73">
        <f t="shared" si="15"/>
        <v>615.47850000000017</v>
      </c>
      <c r="O73">
        <v>607.19222718304354</v>
      </c>
      <c r="P73">
        <f t="shared" si="16"/>
        <v>8.2862728169566253</v>
      </c>
    </row>
    <row r="74" spans="1:16" x14ac:dyDescent="0.3">
      <c r="A74" s="7">
        <v>6</v>
      </c>
      <c r="B74" s="7">
        <v>3</v>
      </c>
      <c r="C74">
        <v>9</v>
      </c>
      <c r="D74">
        <v>5</v>
      </c>
      <c r="E74" s="4">
        <v>9.85</v>
      </c>
      <c r="F74" s="7">
        <v>32</v>
      </c>
      <c r="G74" s="4">
        <f t="shared" si="9"/>
        <v>49.25</v>
      </c>
      <c r="H74" s="5">
        <f t="shared" si="13"/>
        <v>65.234999999999999</v>
      </c>
      <c r="I74" s="5">
        <f t="shared" si="14"/>
        <v>391.40999999999997</v>
      </c>
      <c r="J74" s="4">
        <f t="shared" si="10"/>
        <v>49.25</v>
      </c>
      <c r="K74" s="4">
        <f t="shared" si="11"/>
        <v>49.25</v>
      </c>
      <c r="L74">
        <f>ROW()</f>
        <v>74</v>
      </c>
      <c r="M74">
        <f t="shared" ca="1" si="12"/>
        <v>0.30401036672668458</v>
      </c>
      <c r="N74">
        <f t="shared" si="15"/>
        <v>1086.3449999999998</v>
      </c>
      <c r="O74">
        <v>1026.4309966686335</v>
      </c>
      <c r="P74">
        <f t="shared" si="16"/>
        <v>59.914003331366303</v>
      </c>
    </row>
    <row r="75" spans="1:16" x14ac:dyDescent="0.3">
      <c r="A75" s="7">
        <v>3</v>
      </c>
      <c r="B75" s="7">
        <v>4</v>
      </c>
      <c r="C75">
        <v>4</v>
      </c>
      <c r="D75">
        <v>4</v>
      </c>
      <c r="E75" s="4">
        <v>2.2200000000000002</v>
      </c>
      <c r="F75" s="7">
        <v>32</v>
      </c>
      <c r="G75" s="4">
        <f t="shared" si="9"/>
        <v>8.8800000000000008</v>
      </c>
      <c r="H75" s="5">
        <f t="shared" si="13"/>
        <v>35.128</v>
      </c>
      <c r="I75" s="5">
        <f t="shared" si="14"/>
        <v>105.384</v>
      </c>
      <c r="J75" s="4">
        <f t="shared" si="10"/>
        <v>8.8800000000000008</v>
      </c>
      <c r="K75" s="4">
        <f t="shared" si="11"/>
        <v>8.8800000000000008</v>
      </c>
      <c r="L75">
        <f>ROW()</f>
        <v>75</v>
      </c>
      <c r="M75">
        <f t="shared" ca="1" si="12"/>
        <v>0.20694508754910879</v>
      </c>
      <c r="N75">
        <f t="shared" si="15"/>
        <v>12.114000000000001</v>
      </c>
      <c r="O75">
        <v>-72.972836951681643</v>
      </c>
      <c r="P75">
        <f t="shared" si="16"/>
        <v>85.086836951681647</v>
      </c>
    </row>
    <row r="76" spans="1:16" x14ac:dyDescent="0.3">
      <c r="A76" s="7">
        <v>3</v>
      </c>
      <c r="B76" s="7">
        <v>1</v>
      </c>
      <c r="C76">
        <v>6</v>
      </c>
      <c r="D76">
        <v>5</v>
      </c>
      <c r="E76" s="4">
        <v>4.2300000000000004</v>
      </c>
      <c r="F76" s="7">
        <v>37</v>
      </c>
      <c r="G76" s="4">
        <f t="shared" si="9"/>
        <v>21.150000000000002</v>
      </c>
      <c r="H76" s="5">
        <f t="shared" si="13"/>
        <v>51.378000000000007</v>
      </c>
      <c r="I76" s="5">
        <f t="shared" si="14"/>
        <v>154.13400000000001</v>
      </c>
      <c r="J76" s="4">
        <f t="shared" si="10"/>
        <v>21.150000000000002</v>
      </c>
      <c r="K76" s="4">
        <f t="shared" si="11"/>
        <v>21.150000000000002</v>
      </c>
      <c r="L76">
        <f>ROW()</f>
        <v>76</v>
      </c>
      <c r="M76">
        <f t="shared" ca="1" si="12"/>
        <v>0.98557184834776546</v>
      </c>
      <c r="N76">
        <f t="shared" si="15"/>
        <v>121.80150000000003</v>
      </c>
      <c r="O76">
        <v>113.36676227734176</v>
      </c>
      <c r="P76">
        <f t="shared" si="16"/>
        <v>8.4347377226582694</v>
      </c>
    </row>
    <row r="77" spans="1:16" x14ac:dyDescent="0.3">
      <c r="A77" s="7">
        <v>5</v>
      </c>
      <c r="B77" s="7">
        <v>4</v>
      </c>
      <c r="C77">
        <v>2</v>
      </c>
      <c r="D77">
        <v>4</v>
      </c>
      <c r="E77" s="4">
        <v>5.36</v>
      </c>
      <c r="F77" s="7">
        <v>32</v>
      </c>
      <c r="G77" s="4">
        <f t="shared" si="9"/>
        <v>21.44</v>
      </c>
      <c r="H77" s="5">
        <f t="shared" si="13"/>
        <v>43.729600000000005</v>
      </c>
      <c r="I77" s="5">
        <f t="shared" si="14"/>
        <v>218.64800000000002</v>
      </c>
      <c r="J77" s="4">
        <f t="shared" si="10"/>
        <v>21.44</v>
      </c>
      <c r="K77" s="4">
        <f t="shared" si="11"/>
        <v>21.44</v>
      </c>
      <c r="L77">
        <f>ROW()</f>
        <v>77</v>
      </c>
      <c r="M77">
        <f t="shared" ca="1" si="12"/>
        <v>0.39471318921480147</v>
      </c>
      <c r="N77">
        <f t="shared" si="15"/>
        <v>308.91600000000011</v>
      </c>
      <c r="O77">
        <v>351.64665267770897</v>
      </c>
      <c r="P77">
        <f t="shared" si="16"/>
        <v>42.730652677708861</v>
      </c>
    </row>
    <row r="78" spans="1:16" x14ac:dyDescent="0.3">
      <c r="A78" s="7">
        <v>2</v>
      </c>
      <c r="B78" s="7">
        <v>3</v>
      </c>
      <c r="C78">
        <v>8</v>
      </c>
      <c r="D78">
        <v>2</v>
      </c>
      <c r="E78" s="4">
        <v>6.51</v>
      </c>
      <c r="F78" s="7">
        <v>31</v>
      </c>
      <c r="G78" s="4">
        <f t="shared" si="9"/>
        <v>13.02</v>
      </c>
      <c r="H78" s="5">
        <f t="shared" si="13"/>
        <v>70.009500000000003</v>
      </c>
      <c r="I78" s="5">
        <f t="shared" si="14"/>
        <v>140.01900000000001</v>
      </c>
      <c r="J78" s="4">
        <f t="shared" si="10"/>
        <v>13.02</v>
      </c>
      <c r="K78" s="4">
        <f t="shared" si="11"/>
        <v>13.02</v>
      </c>
      <c r="L78">
        <f>ROW()</f>
        <v>78</v>
      </c>
      <c r="M78">
        <f t="shared" ca="1" si="12"/>
        <v>0.91196964650090151</v>
      </c>
      <c r="N78">
        <f t="shared" si="15"/>
        <v>90.042750000000012</v>
      </c>
      <c r="O78">
        <v>111.57816552553834</v>
      </c>
      <c r="P78">
        <f t="shared" si="16"/>
        <v>21.535415525538326</v>
      </c>
    </row>
    <row r="79" spans="1:16" x14ac:dyDescent="0.3">
      <c r="A79" s="7">
        <v>4</v>
      </c>
      <c r="B79" s="7">
        <v>1</v>
      </c>
      <c r="C79">
        <v>8</v>
      </c>
      <c r="D79">
        <v>4</v>
      </c>
      <c r="E79" s="4">
        <v>6.98</v>
      </c>
      <c r="F79" s="7">
        <v>25</v>
      </c>
      <c r="G79" s="4">
        <f t="shared" si="9"/>
        <v>27.92</v>
      </c>
      <c r="H79" s="5">
        <f t="shared" si="13"/>
        <v>52.866500000000002</v>
      </c>
      <c r="I79" s="5">
        <f t="shared" si="14"/>
        <v>211.46600000000001</v>
      </c>
      <c r="J79" s="4">
        <f t="shared" si="10"/>
        <v>27.92</v>
      </c>
      <c r="K79" s="4">
        <f t="shared" si="11"/>
        <v>27.92</v>
      </c>
      <c r="L79">
        <f>ROW()</f>
        <v>79</v>
      </c>
      <c r="M79">
        <f t="shared" ca="1" si="12"/>
        <v>0.61574363596728687</v>
      </c>
      <c r="N79">
        <f t="shared" si="15"/>
        <v>276.59700000000004</v>
      </c>
      <c r="O79">
        <v>348.02436738658639</v>
      </c>
      <c r="P79">
        <f t="shared" si="16"/>
        <v>71.427367386586354</v>
      </c>
    </row>
    <row r="80" spans="1:16" x14ac:dyDescent="0.3">
      <c r="A80" s="7">
        <v>5</v>
      </c>
      <c r="B80" s="7">
        <v>1</v>
      </c>
      <c r="C80">
        <v>3</v>
      </c>
      <c r="D80">
        <v>4</v>
      </c>
      <c r="E80" s="4">
        <v>2.66</v>
      </c>
      <c r="F80" s="7">
        <v>32</v>
      </c>
      <c r="G80" s="4">
        <f t="shared" si="9"/>
        <v>10.64</v>
      </c>
      <c r="H80" s="5">
        <f t="shared" si="13"/>
        <v>26.012400000000003</v>
      </c>
      <c r="I80" s="5">
        <f t="shared" si="14"/>
        <v>130.06200000000001</v>
      </c>
      <c r="J80" s="4">
        <f t="shared" si="10"/>
        <v>10.64</v>
      </c>
      <c r="K80" s="4">
        <f t="shared" si="11"/>
        <v>10.64</v>
      </c>
      <c r="L80">
        <f>ROW()</f>
        <v>80</v>
      </c>
      <c r="M80">
        <f t="shared" ca="1" si="12"/>
        <v>0.8624489735143267</v>
      </c>
      <c r="N80">
        <f t="shared" si="15"/>
        <v>67.639500000000027</v>
      </c>
      <c r="O80">
        <v>53.989999512844065</v>
      </c>
      <c r="P80">
        <f t="shared" si="16"/>
        <v>13.649500487155962</v>
      </c>
    </row>
    <row r="81" spans="1:16" x14ac:dyDescent="0.3">
      <c r="A81" s="7">
        <v>5</v>
      </c>
      <c r="B81" s="7">
        <v>4</v>
      </c>
      <c r="C81">
        <v>5</v>
      </c>
      <c r="D81">
        <v>1</v>
      </c>
      <c r="E81" s="4">
        <v>2.58</v>
      </c>
      <c r="F81" s="7">
        <v>34</v>
      </c>
      <c r="G81" s="4">
        <f t="shared" si="9"/>
        <v>2.58</v>
      </c>
      <c r="H81" s="5">
        <f t="shared" si="13"/>
        <v>22.1724</v>
      </c>
      <c r="I81" s="5">
        <f t="shared" si="14"/>
        <v>110.86199999999999</v>
      </c>
      <c r="J81" s="4">
        <f t="shared" si="10"/>
        <v>2.58</v>
      </c>
      <c r="K81" s="4">
        <f t="shared" si="11"/>
        <v>2.58</v>
      </c>
      <c r="L81">
        <f>ROW()</f>
        <v>81</v>
      </c>
      <c r="M81">
        <f t="shared" ca="1" si="12"/>
        <v>0.99633148726592391</v>
      </c>
      <c r="N81">
        <f t="shared" si="15"/>
        <v>24.439499999999988</v>
      </c>
      <c r="O81">
        <v>53.348122475933451</v>
      </c>
      <c r="P81">
        <f t="shared" si="16"/>
        <v>28.908622475933463</v>
      </c>
    </row>
    <row r="82" spans="1:16" x14ac:dyDescent="0.3">
      <c r="A82" s="7">
        <v>5</v>
      </c>
      <c r="B82" s="7">
        <v>2</v>
      </c>
      <c r="C82">
        <v>3</v>
      </c>
      <c r="D82">
        <v>3</v>
      </c>
      <c r="E82" s="4">
        <v>11.41</v>
      </c>
      <c r="F82" s="7">
        <v>27</v>
      </c>
      <c r="G82" s="4">
        <f t="shared" si="9"/>
        <v>34.230000000000004</v>
      </c>
      <c r="H82" s="5">
        <f t="shared" si="13"/>
        <v>56.760599999999997</v>
      </c>
      <c r="I82" s="5">
        <f t="shared" si="14"/>
        <v>283.803</v>
      </c>
      <c r="J82" s="4">
        <f t="shared" si="10"/>
        <v>34.230000000000004</v>
      </c>
      <c r="K82" s="4">
        <f t="shared" si="11"/>
        <v>34.230000000000004</v>
      </c>
      <c r="L82">
        <f>ROW()</f>
        <v>82</v>
      </c>
      <c r="M82">
        <f t="shared" ca="1" si="12"/>
        <v>0.65924568334844569</v>
      </c>
      <c r="N82">
        <f t="shared" si="15"/>
        <v>602.11349999999993</v>
      </c>
      <c r="O82">
        <v>564.35556302911527</v>
      </c>
      <c r="P82">
        <f t="shared" si="16"/>
        <v>37.757936970884657</v>
      </c>
    </row>
    <row r="83" spans="1:16" x14ac:dyDescent="0.3">
      <c r="A83" s="7">
        <v>4</v>
      </c>
      <c r="B83" s="7">
        <v>3</v>
      </c>
      <c r="C83">
        <v>7</v>
      </c>
      <c r="D83">
        <v>3</v>
      </c>
      <c r="E83" s="4">
        <v>2.37</v>
      </c>
      <c r="F83" s="7">
        <v>33</v>
      </c>
      <c r="G83" s="4">
        <f t="shared" si="9"/>
        <v>7.11</v>
      </c>
      <c r="H83" s="5">
        <f t="shared" si="13"/>
        <v>27.561</v>
      </c>
      <c r="I83" s="5">
        <f t="shared" si="14"/>
        <v>110.244</v>
      </c>
      <c r="J83" s="4">
        <f t="shared" si="10"/>
        <v>7.11</v>
      </c>
      <c r="K83" s="4">
        <f t="shared" si="11"/>
        <v>7.11</v>
      </c>
      <c r="L83">
        <f>ROW()</f>
        <v>83</v>
      </c>
      <c r="M83">
        <f t="shared" ca="1" si="12"/>
        <v>0.15790404735758445</v>
      </c>
      <c r="N83">
        <f t="shared" si="15"/>
        <v>23.048999999999999</v>
      </c>
      <c r="O83">
        <v>-6.6070333800099661</v>
      </c>
      <c r="P83">
        <f t="shared" si="16"/>
        <v>29.656033380009966</v>
      </c>
    </row>
    <row r="84" spans="1:16" x14ac:dyDescent="0.3">
      <c r="A84" s="7">
        <v>5</v>
      </c>
      <c r="B84" s="7">
        <v>2</v>
      </c>
      <c r="C84">
        <v>3</v>
      </c>
      <c r="D84">
        <v>2</v>
      </c>
      <c r="E84" s="4">
        <v>11.78</v>
      </c>
      <c r="F84" s="7">
        <v>29</v>
      </c>
      <c r="G84" s="4">
        <f t="shared" si="9"/>
        <v>23.56</v>
      </c>
      <c r="H84" s="5">
        <f t="shared" si="13"/>
        <v>47.512799999999999</v>
      </c>
      <c r="I84" s="5">
        <f t="shared" si="14"/>
        <v>237.56399999999999</v>
      </c>
      <c r="J84" s="4">
        <f t="shared" si="10"/>
        <v>23.56</v>
      </c>
      <c r="K84" s="4">
        <f t="shared" si="11"/>
        <v>23.56</v>
      </c>
      <c r="L84">
        <f>ROW()</f>
        <v>84</v>
      </c>
      <c r="M84">
        <f t="shared" ca="1" si="12"/>
        <v>0.62291112754228706</v>
      </c>
      <c r="N84">
        <f t="shared" si="15"/>
        <v>394.03799999999995</v>
      </c>
      <c r="O84">
        <v>353.74261333888603</v>
      </c>
      <c r="P84">
        <f t="shared" si="16"/>
        <v>40.295386661113923</v>
      </c>
    </row>
    <row r="85" spans="1:16" x14ac:dyDescent="0.3">
      <c r="A85" s="7">
        <v>6</v>
      </c>
      <c r="B85" s="7">
        <v>3</v>
      </c>
      <c r="C85">
        <v>5</v>
      </c>
      <c r="D85">
        <v>1</v>
      </c>
      <c r="E85" s="4">
        <v>9.57</v>
      </c>
      <c r="F85" s="7">
        <v>33</v>
      </c>
      <c r="G85" s="4">
        <f t="shared" si="9"/>
        <v>9.57</v>
      </c>
      <c r="H85" s="5">
        <f t="shared" si="13"/>
        <v>33.820999999999998</v>
      </c>
      <c r="I85" s="5">
        <f t="shared" si="14"/>
        <v>202.92599999999999</v>
      </c>
      <c r="J85" s="4">
        <f t="shared" si="10"/>
        <v>9.57</v>
      </c>
      <c r="K85" s="4">
        <f t="shared" si="11"/>
        <v>9.57</v>
      </c>
      <c r="L85">
        <f>ROW()</f>
        <v>85</v>
      </c>
      <c r="M85">
        <f t="shared" ca="1" si="12"/>
        <v>0.65451606696253095</v>
      </c>
      <c r="N85">
        <f t="shared" si="15"/>
        <v>238.16699999999994</v>
      </c>
      <c r="O85">
        <v>254.7995350354638</v>
      </c>
      <c r="P85">
        <f t="shared" si="16"/>
        <v>16.63253503546386</v>
      </c>
    </row>
    <row r="86" spans="1:16" x14ac:dyDescent="0.3">
      <c r="A86" s="7">
        <v>2</v>
      </c>
      <c r="B86" s="7">
        <v>1</v>
      </c>
      <c r="C86">
        <v>4</v>
      </c>
      <c r="D86">
        <v>5</v>
      </c>
      <c r="E86" s="4">
        <v>9.08</v>
      </c>
      <c r="F86" s="7">
        <v>28</v>
      </c>
      <c r="G86" s="4">
        <f t="shared" si="9"/>
        <v>45.4</v>
      </c>
      <c r="H86" s="5">
        <f t="shared" si="13"/>
        <v>130.31599999999997</v>
      </c>
      <c r="I86" s="5">
        <f t="shared" si="14"/>
        <v>260.63199999999995</v>
      </c>
      <c r="J86" s="4">
        <f t="shared" si="10"/>
        <v>45.4</v>
      </c>
      <c r="K86" s="4">
        <f t="shared" si="11"/>
        <v>45.4</v>
      </c>
      <c r="L86">
        <f>ROW()</f>
        <v>86</v>
      </c>
      <c r="M86">
        <f t="shared" ca="1" si="12"/>
        <v>0.4467014276418223</v>
      </c>
      <c r="N86">
        <f t="shared" si="15"/>
        <v>497.84399999999977</v>
      </c>
      <c r="O86">
        <v>536.65296551211145</v>
      </c>
      <c r="P86">
        <f t="shared" si="16"/>
        <v>38.808965512111683</v>
      </c>
    </row>
    <row r="87" spans="1:16" x14ac:dyDescent="0.3">
      <c r="A87" s="7">
        <v>5</v>
      </c>
      <c r="B87" s="7">
        <v>5</v>
      </c>
      <c r="C87">
        <v>3</v>
      </c>
      <c r="D87">
        <v>3</v>
      </c>
      <c r="E87" s="4">
        <v>6.59</v>
      </c>
      <c r="F87" s="7">
        <v>31</v>
      </c>
      <c r="G87" s="4">
        <f t="shared" si="9"/>
        <v>19.77</v>
      </c>
      <c r="H87" s="5">
        <f t="shared" si="13"/>
        <v>47.422800000000002</v>
      </c>
      <c r="I87" s="5">
        <f t="shared" si="14"/>
        <v>237.114</v>
      </c>
      <c r="J87" s="4">
        <f t="shared" si="10"/>
        <v>19.77</v>
      </c>
      <c r="K87" s="4">
        <f t="shared" si="11"/>
        <v>19.77</v>
      </c>
      <c r="L87">
        <f>ROW()</f>
        <v>87</v>
      </c>
      <c r="M87">
        <f t="shared" ca="1" si="12"/>
        <v>0.83079562153635911</v>
      </c>
      <c r="N87">
        <f t="shared" si="15"/>
        <v>392.01300000000003</v>
      </c>
      <c r="O87">
        <v>438.00328723820951</v>
      </c>
      <c r="P87">
        <f t="shared" si="16"/>
        <v>45.990287238209476</v>
      </c>
    </row>
    <row r="88" spans="1:16" x14ac:dyDescent="0.3">
      <c r="A88" s="7">
        <v>3</v>
      </c>
      <c r="B88" s="7">
        <v>3</v>
      </c>
      <c r="C88">
        <v>5</v>
      </c>
      <c r="D88">
        <v>4</v>
      </c>
      <c r="E88" s="4">
        <v>5.88</v>
      </c>
      <c r="F88" s="7">
        <v>37</v>
      </c>
      <c r="G88" s="4">
        <f t="shared" si="9"/>
        <v>23.52</v>
      </c>
      <c r="H88" s="5">
        <f t="shared" si="13"/>
        <v>64.588000000000008</v>
      </c>
      <c r="I88" s="5">
        <f t="shared" si="14"/>
        <v>193.76400000000001</v>
      </c>
      <c r="J88" s="4">
        <f t="shared" si="10"/>
        <v>23.52</v>
      </c>
      <c r="K88" s="4">
        <f t="shared" si="11"/>
        <v>23.52</v>
      </c>
      <c r="L88">
        <f>ROW()</f>
        <v>88</v>
      </c>
      <c r="M88">
        <f t="shared" ca="1" si="12"/>
        <v>1.2661316356369245E-2</v>
      </c>
      <c r="N88">
        <f t="shared" si="15"/>
        <v>210.96900000000002</v>
      </c>
      <c r="O88">
        <v>274.12926211310105</v>
      </c>
      <c r="P88">
        <f t="shared" si="16"/>
        <v>63.160262113101027</v>
      </c>
    </row>
    <row r="89" spans="1:16" x14ac:dyDescent="0.3">
      <c r="A89" s="7">
        <v>5</v>
      </c>
      <c r="B89" s="7">
        <v>4</v>
      </c>
      <c r="C89">
        <v>6</v>
      </c>
      <c r="D89">
        <v>5</v>
      </c>
      <c r="E89" s="4">
        <v>7.24</v>
      </c>
      <c r="F89" s="7">
        <v>32</v>
      </c>
      <c r="G89" s="4">
        <f t="shared" si="9"/>
        <v>36.200000000000003</v>
      </c>
      <c r="H89" s="5">
        <f t="shared" si="13"/>
        <v>61.480800000000002</v>
      </c>
      <c r="I89" s="5">
        <f t="shared" si="14"/>
        <v>307.404</v>
      </c>
      <c r="J89" s="4">
        <f t="shared" si="10"/>
        <v>36.200000000000003</v>
      </c>
      <c r="K89" s="4">
        <f t="shared" si="11"/>
        <v>36.200000000000003</v>
      </c>
      <c r="L89">
        <f>ROW()</f>
        <v>89</v>
      </c>
      <c r="M89">
        <f t="shared" ca="1" si="12"/>
        <v>0.95618644736092973</v>
      </c>
      <c r="N89">
        <f t="shared" si="15"/>
        <v>708.31799999999998</v>
      </c>
      <c r="O89">
        <v>691.29825840019294</v>
      </c>
      <c r="P89">
        <f t="shared" si="16"/>
        <v>17.019741599807048</v>
      </c>
    </row>
    <row r="90" spans="1:16" x14ac:dyDescent="0.3">
      <c r="A90" s="7">
        <v>4</v>
      </c>
      <c r="B90" s="7">
        <v>1</v>
      </c>
      <c r="C90">
        <v>6</v>
      </c>
      <c r="D90">
        <v>5</v>
      </c>
      <c r="E90" s="4">
        <v>10.67</v>
      </c>
      <c r="F90" s="7">
        <v>30</v>
      </c>
      <c r="G90" s="4">
        <f t="shared" si="9"/>
        <v>53.35</v>
      </c>
      <c r="H90" s="5">
        <f t="shared" si="13"/>
        <v>83.8215</v>
      </c>
      <c r="I90" s="5">
        <f t="shared" si="14"/>
        <v>335.286</v>
      </c>
      <c r="J90" s="4">
        <f t="shared" si="10"/>
        <v>53.35</v>
      </c>
      <c r="K90" s="4">
        <f t="shared" si="11"/>
        <v>53.35</v>
      </c>
      <c r="L90">
        <f>ROW()</f>
        <v>90</v>
      </c>
      <c r="M90">
        <f t="shared" ca="1" si="12"/>
        <v>0.15195007262903926</v>
      </c>
      <c r="N90">
        <f t="shared" si="15"/>
        <v>833.78700000000003</v>
      </c>
      <c r="O90">
        <v>803.84294192065431</v>
      </c>
      <c r="P90">
        <f t="shared" si="16"/>
        <v>29.944058079345723</v>
      </c>
    </row>
    <row r="91" spans="1:16" x14ac:dyDescent="0.3">
      <c r="A91" s="7">
        <v>4</v>
      </c>
      <c r="B91" s="7">
        <v>2</v>
      </c>
      <c r="C91">
        <v>8</v>
      </c>
      <c r="D91">
        <v>1</v>
      </c>
      <c r="E91" s="4">
        <v>4.05</v>
      </c>
      <c r="F91" s="7">
        <v>27</v>
      </c>
      <c r="G91" s="4">
        <f t="shared" si="9"/>
        <v>4.05</v>
      </c>
      <c r="H91" s="5">
        <f t="shared" si="13"/>
        <v>25.428750000000001</v>
      </c>
      <c r="I91" s="5">
        <f t="shared" si="14"/>
        <v>101.715</v>
      </c>
      <c r="J91" s="4">
        <f t="shared" si="10"/>
        <v>4.05</v>
      </c>
      <c r="K91" s="4">
        <f t="shared" si="11"/>
        <v>4.05</v>
      </c>
      <c r="L91">
        <f>ROW()</f>
        <v>91</v>
      </c>
      <c r="M91">
        <f t="shared" ca="1" si="12"/>
        <v>0.4833028130354371</v>
      </c>
      <c r="N91">
        <f t="shared" si="15"/>
        <v>3.8587500000000077</v>
      </c>
      <c r="O91">
        <v>28.603941608050718</v>
      </c>
      <c r="P91">
        <f t="shared" si="16"/>
        <v>24.74519160805071</v>
      </c>
    </row>
    <row r="92" spans="1:16" x14ac:dyDescent="0.3">
      <c r="A92" s="7">
        <v>5</v>
      </c>
      <c r="B92" s="7">
        <v>1</v>
      </c>
      <c r="C92">
        <v>6</v>
      </c>
      <c r="D92">
        <v>1</v>
      </c>
      <c r="E92" s="4">
        <v>8.8800000000000008</v>
      </c>
      <c r="F92" s="7">
        <v>29</v>
      </c>
      <c r="G92" s="4">
        <f t="shared" si="9"/>
        <v>8.8800000000000008</v>
      </c>
      <c r="H92" s="5">
        <f t="shared" si="13"/>
        <v>28.852800000000002</v>
      </c>
      <c r="I92" s="5">
        <f t="shared" si="14"/>
        <v>144.26400000000001</v>
      </c>
      <c r="J92" s="4">
        <f t="shared" si="10"/>
        <v>8.8800000000000008</v>
      </c>
      <c r="K92" s="4">
        <f t="shared" si="11"/>
        <v>8.8800000000000008</v>
      </c>
      <c r="L92">
        <f>ROW()</f>
        <v>92</v>
      </c>
      <c r="M92">
        <f t="shared" ca="1" si="12"/>
        <v>0.93878526435549858</v>
      </c>
      <c r="N92">
        <f t="shared" si="15"/>
        <v>99.594000000000023</v>
      </c>
      <c r="O92">
        <v>45.794834772028139</v>
      </c>
      <c r="P92">
        <f t="shared" si="16"/>
        <v>53.799165227971883</v>
      </c>
    </row>
    <row r="93" spans="1:16" x14ac:dyDescent="0.3">
      <c r="A93" s="7">
        <v>3</v>
      </c>
      <c r="B93" s="7">
        <v>2</v>
      </c>
      <c r="C93">
        <v>6</v>
      </c>
      <c r="D93">
        <v>5</v>
      </c>
      <c r="E93" s="4">
        <v>8.4700000000000006</v>
      </c>
      <c r="F93" s="7">
        <v>27</v>
      </c>
      <c r="G93" s="4">
        <f t="shared" si="9"/>
        <v>42.35</v>
      </c>
      <c r="H93" s="5">
        <f t="shared" si="13"/>
        <v>93.771000000000001</v>
      </c>
      <c r="I93" s="5">
        <f t="shared" si="14"/>
        <v>281.31299999999999</v>
      </c>
      <c r="J93" s="4">
        <f t="shared" si="10"/>
        <v>42.35</v>
      </c>
      <c r="K93" s="4">
        <f t="shared" si="11"/>
        <v>42.35</v>
      </c>
      <c r="L93">
        <f>ROW()</f>
        <v>93</v>
      </c>
      <c r="M93">
        <f t="shared" ca="1" si="12"/>
        <v>2.1393207313777474E-2</v>
      </c>
      <c r="N93">
        <f t="shared" si="15"/>
        <v>590.9085</v>
      </c>
      <c r="O93">
        <v>617.20751953589468</v>
      </c>
      <c r="P93">
        <f t="shared" si="16"/>
        <v>26.299019535894672</v>
      </c>
    </row>
    <row r="94" spans="1:16" x14ac:dyDescent="0.3">
      <c r="A94" s="7">
        <v>6</v>
      </c>
      <c r="B94" s="7">
        <v>1</v>
      </c>
      <c r="C94">
        <v>8</v>
      </c>
      <c r="D94">
        <v>2</v>
      </c>
      <c r="E94" s="4">
        <v>4.71</v>
      </c>
      <c r="F94" s="7">
        <v>34</v>
      </c>
      <c r="G94" s="4">
        <f t="shared" si="9"/>
        <v>9.42</v>
      </c>
      <c r="H94" s="5">
        <f t="shared" si="13"/>
        <v>24.9695</v>
      </c>
      <c r="I94" s="5">
        <f t="shared" si="14"/>
        <v>149.81700000000001</v>
      </c>
      <c r="J94" s="4">
        <f t="shared" si="10"/>
        <v>9.42</v>
      </c>
      <c r="K94" s="4">
        <f t="shared" si="11"/>
        <v>9.42</v>
      </c>
      <c r="L94">
        <f>ROW()</f>
        <v>94</v>
      </c>
      <c r="M94">
        <f t="shared" ca="1" si="12"/>
        <v>0.31470668199606755</v>
      </c>
      <c r="N94">
        <f t="shared" si="15"/>
        <v>112.08825000000002</v>
      </c>
      <c r="O94">
        <v>150.97940538230921</v>
      </c>
      <c r="P94">
        <f t="shared" si="16"/>
        <v>38.891155382309194</v>
      </c>
    </row>
    <row r="95" spans="1:16" x14ac:dyDescent="0.3">
      <c r="A95" s="7">
        <v>3</v>
      </c>
      <c r="B95" s="7">
        <v>2</v>
      </c>
      <c r="C95">
        <v>8</v>
      </c>
      <c r="D95">
        <v>5</v>
      </c>
      <c r="E95" s="4">
        <v>11.08</v>
      </c>
      <c r="F95" s="7">
        <v>32</v>
      </c>
      <c r="G95" s="4">
        <f t="shared" si="9"/>
        <v>55.4</v>
      </c>
      <c r="H95" s="5">
        <f t="shared" si="13"/>
        <v>119.52133333333332</v>
      </c>
      <c r="I95" s="5">
        <f t="shared" si="14"/>
        <v>358.56399999999996</v>
      </c>
      <c r="J95" s="4">
        <f t="shared" si="10"/>
        <v>55.4</v>
      </c>
      <c r="K95" s="4">
        <f t="shared" si="11"/>
        <v>55.4</v>
      </c>
      <c r="L95">
        <f>ROW()</f>
        <v>95</v>
      </c>
      <c r="M95">
        <f t="shared" ca="1" si="12"/>
        <v>0.68787415467985946</v>
      </c>
      <c r="N95">
        <f t="shared" si="15"/>
        <v>938.53799999999978</v>
      </c>
      <c r="O95">
        <v>920.06722251598171</v>
      </c>
      <c r="P95">
        <f t="shared" si="16"/>
        <v>18.470777484018072</v>
      </c>
    </row>
    <row r="96" spans="1:16" x14ac:dyDescent="0.3">
      <c r="A96" s="7">
        <v>2</v>
      </c>
      <c r="B96" s="7">
        <v>3</v>
      </c>
      <c r="C96">
        <v>2</v>
      </c>
      <c r="D96">
        <v>4</v>
      </c>
      <c r="E96" s="4">
        <v>9.3699999999999992</v>
      </c>
      <c r="F96" s="7">
        <v>35</v>
      </c>
      <c r="G96" s="4">
        <f t="shared" si="9"/>
        <v>37.479999999999997</v>
      </c>
      <c r="H96" s="5">
        <f t="shared" si="13"/>
        <v>130.71949999999998</v>
      </c>
      <c r="I96" s="5">
        <f t="shared" si="14"/>
        <v>261.43899999999996</v>
      </c>
      <c r="J96" s="4">
        <f t="shared" si="10"/>
        <v>37.479999999999997</v>
      </c>
      <c r="K96" s="4">
        <f t="shared" si="11"/>
        <v>37.479999999999997</v>
      </c>
      <c r="L96">
        <f>ROW()</f>
        <v>96</v>
      </c>
      <c r="M96">
        <f t="shared" ca="1" si="12"/>
        <v>9.0661853905801282E-3</v>
      </c>
      <c r="N96">
        <f t="shared" si="15"/>
        <v>501.47549999999984</v>
      </c>
      <c r="O96">
        <v>538.57845033612102</v>
      </c>
      <c r="P96">
        <f t="shared" si="16"/>
        <v>37.102950336121182</v>
      </c>
    </row>
    <row r="97" spans="1:16" x14ac:dyDescent="0.3">
      <c r="A97" s="7">
        <v>6</v>
      </c>
      <c r="B97" s="7">
        <v>3</v>
      </c>
      <c r="C97">
        <v>8</v>
      </c>
      <c r="D97">
        <v>3</v>
      </c>
      <c r="E97" s="4">
        <v>8.39</v>
      </c>
      <c r="F97" s="7">
        <v>35</v>
      </c>
      <c r="G97" s="4">
        <f t="shared" si="9"/>
        <v>25.17</v>
      </c>
      <c r="H97" s="5">
        <f t="shared" si="13"/>
        <v>44.924333333333344</v>
      </c>
      <c r="I97" s="5">
        <f t="shared" si="14"/>
        <v>269.54600000000005</v>
      </c>
      <c r="J97" s="4">
        <f t="shared" si="10"/>
        <v>25.17</v>
      </c>
      <c r="K97" s="4">
        <f t="shared" si="11"/>
        <v>25.17</v>
      </c>
      <c r="L97">
        <f>ROW()</f>
        <v>97</v>
      </c>
      <c r="M97">
        <f t="shared" ca="1" si="12"/>
        <v>0.7808226112547737</v>
      </c>
      <c r="N97">
        <f t="shared" si="15"/>
        <v>537.95700000000022</v>
      </c>
      <c r="O97">
        <v>540.24523749033449</v>
      </c>
      <c r="P97">
        <f t="shared" si="16"/>
        <v>2.2882374903342679</v>
      </c>
    </row>
    <row r="98" spans="1:16" x14ac:dyDescent="0.3">
      <c r="A98" s="7">
        <v>6</v>
      </c>
      <c r="B98" s="7">
        <v>2</v>
      </c>
      <c r="C98">
        <v>8</v>
      </c>
      <c r="D98">
        <v>2</v>
      </c>
      <c r="E98" s="4">
        <v>11.19</v>
      </c>
      <c r="F98" s="7">
        <v>31</v>
      </c>
      <c r="G98" s="4">
        <f t="shared" si="9"/>
        <v>22.38</v>
      </c>
      <c r="H98" s="5">
        <f t="shared" si="13"/>
        <v>42.601999999999997</v>
      </c>
      <c r="I98" s="5">
        <f t="shared" si="14"/>
        <v>255.61199999999999</v>
      </c>
      <c r="J98" s="4">
        <f t="shared" si="10"/>
        <v>22.38</v>
      </c>
      <c r="K98" s="4">
        <f t="shared" ref="K98:K121" si="17">D98*E98</f>
        <v>22.38</v>
      </c>
      <c r="L98">
        <f>ROW()</f>
        <v>98</v>
      </c>
      <c r="M98">
        <f t="shared" ca="1" si="12"/>
        <v>0.37943601630799217</v>
      </c>
      <c r="N98">
        <f t="shared" si="15"/>
        <v>475.25399999999996</v>
      </c>
      <c r="O98">
        <v>433.90802405306533</v>
      </c>
      <c r="P98">
        <f t="shared" si="16"/>
        <v>41.34597594693463</v>
      </c>
    </row>
    <row r="99" spans="1:16" x14ac:dyDescent="0.3">
      <c r="A99" s="7">
        <v>3</v>
      </c>
      <c r="B99" s="7">
        <v>3</v>
      </c>
      <c r="C99">
        <v>7</v>
      </c>
      <c r="D99">
        <v>5</v>
      </c>
      <c r="E99" s="4">
        <v>9.26</v>
      </c>
      <c r="F99" s="7">
        <v>30</v>
      </c>
      <c r="G99" s="4">
        <f t="shared" si="9"/>
        <v>46.3</v>
      </c>
      <c r="H99" s="5">
        <f t="shared" si="13"/>
        <v>108.21733333333333</v>
      </c>
      <c r="I99" s="5">
        <f t="shared" si="14"/>
        <v>324.65199999999999</v>
      </c>
      <c r="J99" s="4">
        <f t="shared" si="10"/>
        <v>46.3</v>
      </c>
      <c r="K99" s="4">
        <f t="shared" si="17"/>
        <v>46.3</v>
      </c>
      <c r="L99">
        <f>ROW()</f>
        <v>99</v>
      </c>
      <c r="M99">
        <f t="shared" ca="1" si="12"/>
        <v>0.53625176823494114</v>
      </c>
      <c r="N99">
        <f t="shared" si="15"/>
        <v>785.93399999999997</v>
      </c>
      <c r="O99">
        <v>792.89501778323825</v>
      </c>
      <c r="P99">
        <f t="shared" si="16"/>
        <v>6.961017783238276</v>
      </c>
    </row>
    <row r="100" spans="1:16" x14ac:dyDescent="0.3">
      <c r="A100" s="7">
        <v>2</v>
      </c>
      <c r="B100" s="7">
        <v>4</v>
      </c>
      <c r="C100">
        <v>8</v>
      </c>
      <c r="D100">
        <v>4</v>
      </c>
      <c r="E100" s="4">
        <v>5.3</v>
      </c>
      <c r="F100" s="7">
        <v>35</v>
      </c>
      <c r="G100" s="4">
        <f t="shared" si="9"/>
        <v>21.2</v>
      </c>
      <c r="H100" s="5">
        <f t="shared" si="13"/>
        <v>89.199999999999989</v>
      </c>
      <c r="I100" s="5">
        <f t="shared" si="14"/>
        <v>178.39999999999998</v>
      </c>
      <c r="J100" s="4">
        <f t="shared" si="10"/>
        <v>21.2</v>
      </c>
      <c r="K100" s="4">
        <f t="shared" si="17"/>
        <v>21.2</v>
      </c>
      <c r="L100">
        <f>ROW()</f>
        <v>100</v>
      </c>
      <c r="M100">
        <f t="shared" ca="1" si="12"/>
        <v>0.70816664155238862</v>
      </c>
      <c r="N100">
        <f t="shared" si="15"/>
        <v>176.39999999999995</v>
      </c>
      <c r="O100">
        <v>221.30586314158927</v>
      </c>
      <c r="P100">
        <f t="shared" si="16"/>
        <v>44.905863141589322</v>
      </c>
    </row>
    <row r="101" spans="1:16" x14ac:dyDescent="0.3">
      <c r="A101" s="7">
        <v>4</v>
      </c>
      <c r="B101" s="7">
        <v>2</v>
      </c>
      <c r="C101">
        <v>3</v>
      </c>
      <c r="D101">
        <v>5</v>
      </c>
      <c r="E101" s="4">
        <v>4.54</v>
      </c>
      <c r="F101" s="7">
        <v>26</v>
      </c>
      <c r="G101" s="4">
        <f t="shared" si="9"/>
        <v>22.7</v>
      </c>
      <c r="H101" s="5">
        <f t="shared" si="13"/>
        <v>45.985500000000002</v>
      </c>
      <c r="I101" s="5">
        <f t="shared" si="14"/>
        <v>183.94200000000001</v>
      </c>
      <c r="J101" s="4">
        <f t="shared" si="10"/>
        <v>22.7</v>
      </c>
      <c r="K101" s="4">
        <f t="shared" si="17"/>
        <v>22.7</v>
      </c>
      <c r="L101">
        <f>ROW()</f>
        <v>101</v>
      </c>
      <c r="M101">
        <f t="shared" ca="1" si="12"/>
        <v>0.44788429011099107</v>
      </c>
      <c r="N101">
        <f t="shared" si="15"/>
        <v>188.86950000000002</v>
      </c>
      <c r="O101">
        <v>223.69744492944756</v>
      </c>
      <c r="P101">
        <f t="shared" si="16"/>
        <v>34.82794492944754</v>
      </c>
    </row>
    <row r="102" spans="1:16" x14ac:dyDescent="0.3">
      <c r="A102" s="7">
        <v>6</v>
      </c>
      <c r="B102" s="7">
        <v>3</v>
      </c>
      <c r="C102">
        <v>7</v>
      </c>
      <c r="D102">
        <v>5</v>
      </c>
      <c r="E102" s="4">
        <v>6.26</v>
      </c>
      <c r="F102" s="7">
        <v>26</v>
      </c>
      <c r="G102" s="4">
        <f t="shared" si="9"/>
        <v>31.299999999999997</v>
      </c>
      <c r="H102" s="5">
        <f t="shared" si="13"/>
        <v>46.50866666666667</v>
      </c>
      <c r="I102" s="5">
        <f t="shared" si="14"/>
        <v>279.05200000000002</v>
      </c>
      <c r="J102" s="4">
        <f t="shared" si="10"/>
        <v>31.299999999999997</v>
      </c>
      <c r="K102" s="4">
        <f t="shared" si="17"/>
        <v>31.299999999999997</v>
      </c>
      <c r="L102">
        <f>ROW()</f>
        <v>102</v>
      </c>
      <c r="M102">
        <f t="shared" ca="1" si="12"/>
        <v>0.53955238256141302</v>
      </c>
      <c r="N102">
        <f t="shared" si="15"/>
        <v>580.73400000000015</v>
      </c>
      <c r="O102">
        <v>572.75431292253643</v>
      </c>
      <c r="P102">
        <f t="shared" si="16"/>
        <v>7.9796870774637227</v>
      </c>
    </row>
    <row r="103" spans="1:16" x14ac:dyDescent="0.3">
      <c r="A103" s="7">
        <v>3</v>
      </c>
      <c r="B103" s="7">
        <v>5</v>
      </c>
      <c r="C103">
        <v>8</v>
      </c>
      <c r="D103">
        <v>4</v>
      </c>
      <c r="E103" s="4">
        <v>2.75</v>
      </c>
      <c r="F103" s="7">
        <v>35</v>
      </c>
      <c r="G103" s="4">
        <f t="shared" si="9"/>
        <v>11</v>
      </c>
      <c r="H103" s="5">
        <f t="shared" si="13"/>
        <v>42.591666666666669</v>
      </c>
      <c r="I103" s="5">
        <f t="shared" si="14"/>
        <v>127.77500000000001</v>
      </c>
      <c r="J103" s="4">
        <f t="shared" si="10"/>
        <v>11</v>
      </c>
      <c r="K103" s="4">
        <f t="shared" si="17"/>
        <v>11</v>
      </c>
      <c r="L103">
        <f>ROW()</f>
        <v>103</v>
      </c>
      <c r="M103">
        <f t="shared" ca="1" si="12"/>
        <v>0.77018327142972687</v>
      </c>
      <c r="N103">
        <f t="shared" si="15"/>
        <v>62.493750000000013</v>
      </c>
      <c r="O103">
        <v>-8.8821120134274452</v>
      </c>
      <c r="P103">
        <f t="shared" si="16"/>
        <v>71.375862013427451</v>
      </c>
    </row>
    <row r="104" spans="1:16" x14ac:dyDescent="0.3">
      <c r="A104" s="7">
        <v>5</v>
      </c>
      <c r="B104" s="7">
        <v>3</v>
      </c>
      <c r="C104">
        <v>8</v>
      </c>
      <c r="D104">
        <v>5</v>
      </c>
      <c r="E104" s="4">
        <v>4.9400000000000004</v>
      </c>
      <c r="F104" s="7">
        <v>33</v>
      </c>
      <c r="G104" s="4">
        <f t="shared" si="9"/>
        <v>24.700000000000003</v>
      </c>
      <c r="H104" s="5">
        <f t="shared" si="13"/>
        <v>45.035200000000003</v>
      </c>
      <c r="I104" s="5">
        <f t="shared" si="14"/>
        <v>225.17600000000002</v>
      </c>
      <c r="J104" s="4">
        <f t="shared" si="10"/>
        <v>24.700000000000003</v>
      </c>
      <c r="K104" s="4">
        <f t="shared" si="17"/>
        <v>24.700000000000003</v>
      </c>
      <c r="L104">
        <f>ROW()</f>
        <v>104</v>
      </c>
      <c r="M104">
        <f t="shared" ca="1" si="12"/>
        <v>0.91438795098475711</v>
      </c>
      <c r="N104">
        <f t="shared" si="15"/>
        <v>338.29200000000009</v>
      </c>
      <c r="O104">
        <v>356.71572631721051</v>
      </c>
      <c r="P104">
        <f t="shared" si="16"/>
        <v>18.423726317210424</v>
      </c>
    </row>
    <row r="105" spans="1:16" x14ac:dyDescent="0.3">
      <c r="A105" s="7">
        <v>4</v>
      </c>
      <c r="B105" s="7">
        <v>3</v>
      </c>
      <c r="C105">
        <v>4</v>
      </c>
      <c r="D105">
        <v>2</v>
      </c>
      <c r="E105" s="4">
        <v>6.05</v>
      </c>
      <c r="F105" s="7">
        <v>37</v>
      </c>
      <c r="G105" s="4">
        <f t="shared" si="9"/>
        <v>12.1</v>
      </c>
      <c r="H105" s="5">
        <f t="shared" si="13"/>
        <v>39.35125</v>
      </c>
      <c r="I105" s="5">
        <f t="shared" si="14"/>
        <v>157.405</v>
      </c>
      <c r="J105" s="4">
        <f t="shared" si="10"/>
        <v>12.1</v>
      </c>
      <c r="K105" s="4">
        <f t="shared" si="17"/>
        <v>12.1</v>
      </c>
      <c r="L105">
        <f>ROW()</f>
        <v>105</v>
      </c>
      <c r="M105">
        <f t="shared" ca="1" si="12"/>
        <v>0.84127374254828724</v>
      </c>
      <c r="N105">
        <f t="shared" si="15"/>
        <v>129.16125</v>
      </c>
      <c r="O105">
        <v>157.76058963290268</v>
      </c>
      <c r="P105">
        <f t="shared" si="16"/>
        <v>28.599339632902684</v>
      </c>
    </row>
    <row r="106" spans="1:16" x14ac:dyDescent="0.3">
      <c r="A106" s="7">
        <v>5</v>
      </c>
      <c r="B106" s="7">
        <v>1</v>
      </c>
      <c r="C106">
        <v>8</v>
      </c>
      <c r="D106">
        <v>2</v>
      </c>
      <c r="E106" s="4">
        <v>8.81</v>
      </c>
      <c r="F106" s="7">
        <v>26</v>
      </c>
      <c r="G106" s="4">
        <f t="shared" si="9"/>
        <v>17.62</v>
      </c>
      <c r="H106" s="5">
        <f t="shared" si="13"/>
        <v>37.377400000000002</v>
      </c>
      <c r="I106" s="5">
        <f t="shared" si="14"/>
        <v>186.887</v>
      </c>
      <c r="J106" s="4">
        <f t="shared" si="10"/>
        <v>17.62</v>
      </c>
      <c r="K106" s="4">
        <f t="shared" si="17"/>
        <v>17.62</v>
      </c>
      <c r="L106">
        <f>ROW()</f>
        <v>106</v>
      </c>
      <c r="M106">
        <f t="shared" ca="1" si="12"/>
        <v>0.13323690190238235</v>
      </c>
      <c r="N106">
        <f t="shared" si="15"/>
        <v>195.49574999999999</v>
      </c>
      <c r="O106">
        <v>221.79100273101869</v>
      </c>
      <c r="P106">
        <f t="shared" si="16"/>
        <v>26.295252731018707</v>
      </c>
    </row>
    <row r="107" spans="1:16" x14ac:dyDescent="0.3">
      <c r="A107" s="7">
        <v>4</v>
      </c>
      <c r="B107" s="7">
        <v>5</v>
      </c>
      <c r="C107">
        <v>3</v>
      </c>
      <c r="D107">
        <v>5</v>
      </c>
      <c r="E107" s="4">
        <v>5.77</v>
      </c>
      <c r="F107" s="7">
        <v>33</v>
      </c>
      <c r="G107" s="4">
        <f t="shared" si="9"/>
        <v>28.849999999999998</v>
      </c>
      <c r="H107" s="5">
        <f t="shared" si="13"/>
        <v>63.467999999999996</v>
      </c>
      <c r="I107" s="5">
        <f t="shared" si="14"/>
        <v>253.87199999999999</v>
      </c>
      <c r="J107" s="4">
        <f t="shared" si="10"/>
        <v>28.849999999999998</v>
      </c>
      <c r="K107" s="4">
        <f t="shared" si="17"/>
        <v>28.849999999999998</v>
      </c>
      <c r="L107">
        <f>ROW()</f>
        <v>107</v>
      </c>
      <c r="M107">
        <f t="shared" ca="1" si="12"/>
        <v>0.14626487675707489</v>
      </c>
      <c r="N107">
        <f t="shared" si="15"/>
        <v>467.42399999999992</v>
      </c>
      <c r="O107">
        <v>473.08715362126895</v>
      </c>
      <c r="P107">
        <f t="shared" si="16"/>
        <v>5.6631536212690321</v>
      </c>
    </row>
    <row r="108" spans="1:16" x14ac:dyDescent="0.3">
      <c r="A108" s="7">
        <v>4</v>
      </c>
      <c r="B108" s="7">
        <v>1</v>
      </c>
      <c r="C108">
        <v>3</v>
      </c>
      <c r="D108">
        <v>5</v>
      </c>
      <c r="E108" s="4">
        <v>8.08</v>
      </c>
      <c r="F108" s="7">
        <v>25</v>
      </c>
      <c r="G108" s="4">
        <f t="shared" si="9"/>
        <v>40.4</v>
      </c>
      <c r="H108" s="5">
        <f t="shared" si="13"/>
        <v>65.903999999999996</v>
      </c>
      <c r="I108" s="5">
        <f t="shared" si="14"/>
        <v>263.61599999999999</v>
      </c>
      <c r="J108" s="4">
        <f t="shared" si="10"/>
        <v>40.4</v>
      </c>
      <c r="K108" s="4">
        <f t="shared" si="17"/>
        <v>40.4</v>
      </c>
      <c r="L108">
        <f>ROW()</f>
        <v>108</v>
      </c>
      <c r="M108">
        <f t="shared" ca="1" si="12"/>
        <v>4.2896645241717213E-2</v>
      </c>
      <c r="N108">
        <f t="shared" si="15"/>
        <v>511.27199999999993</v>
      </c>
      <c r="O108">
        <v>533.57271119496068</v>
      </c>
      <c r="P108">
        <f t="shared" si="16"/>
        <v>22.300711194960741</v>
      </c>
    </row>
    <row r="109" spans="1:16" x14ac:dyDescent="0.3">
      <c r="A109" s="7">
        <v>3</v>
      </c>
      <c r="B109" s="7">
        <v>4</v>
      </c>
      <c r="C109">
        <v>9</v>
      </c>
      <c r="D109">
        <v>3</v>
      </c>
      <c r="E109" s="4">
        <v>5.6</v>
      </c>
      <c r="F109" s="7">
        <v>30</v>
      </c>
      <c r="G109" s="4">
        <f t="shared" si="9"/>
        <v>16.799999999999997</v>
      </c>
      <c r="H109" s="5">
        <f t="shared" si="13"/>
        <v>59.24</v>
      </c>
      <c r="I109" s="5">
        <f t="shared" si="14"/>
        <v>177.72</v>
      </c>
      <c r="J109" s="4">
        <f t="shared" si="10"/>
        <v>16.799999999999997</v>
      </c>
      <c r="K109" s="4">
        <f t="shared" si="17"/>
        <v>16.799999999999997</v>
      </c>
      <c r="L109">
        <f>ROW()</f>
        <v>109</v>
      </c>
      <c r="M109">
        <f t="shared" ca="1" si="12"/>
        <v>0.24133081491948072</v>
      </c>
      <c r="N109">
        <f t="shared" si="15"/>
        <v>174.87</v>
      </c>
      <c r="O109">
        <v>236.75128861545136</v>
      </c>
      <c r="P109">
        <f t="shared" si="16"/>
        <v>61.881288615451354</v>
      </c>
    </row>
    <row r="110" spans="1:16" x14ac:dyDescent="0.3">
      <c r="A110" s="7">
        <v>5</v>
      </c>
      <c r="B110" s="7">
        <v>5</v>
      </c>
      <c r="C110">
        <v>3</v>
      </c>
      <c r="D110">
        <v>5</v>
      </c>
      <c r="E110" s="4">
        <v>9.9600000000000009</v>
      </c>
      <c r="F110" s="7">
        <v>33</v>
      </c>
      <c r="G110" s="4">
        <f t="shared" si="9"/>
        <v>49.800000000000004</v>
      </c>
      <c r="H110" s="5">
        <f t="shared" si="13"/>
        <v>81.931200000000018</v>
      </c>
      <c r="I110" s="5">
        <f t="shared" si="14"/>
        <v>409.65600000000006</v>
      </c>
      <c r="J110" s="4">
        <f t="shared" si="10"/>
        <v>49.800000000000004</v>
      </c>
      <c r="K110" s="4">
        <f t="shared" si="17"/>
        <v>49.800000000000004</v>
      </c>
      <c r="L110">
        <f>ROW()</f>
        <v>110</v>
      </c>
      <c r="M110">
        <f t="shared" ca="1" si="12"/>
        <v>0.10683142326009343</v>
      </c>
      <c r="N110">
        <f t="shared" si="15"/>
        <v>1168.4520000000002</v>
      </c>
      <c r="O110">
        <v>1118.6968803708442</v>
      </c>
      <c r="P110">
        <f t="shared" si="16"/>
        <v>49.75511962915607</v>
      </c>
    </row>
    <row r="111" spans="1:16" x14ac:dyDescent="0.3">
      <c r="A111" s="7">
        <v>3</v>
      </c>
      <c r="B111" s="7">
        <v>1</v>
      </c>
      <c r="C111">
        <v>5</v>
      </c>
      <c r="D111">
        <v>2</v>
      </c>
      <c r="E111" s="4">
        <v>3.33</v>
      </c>
      <c r="F111" s="7">
        <v>35</v>
      </c>
      <c r="G111" s="4">
        <f t="shared" si="9"/>
        <v>6.66</v>
      </c>
      <c r="H111" s="5">
        <f t="shared" si="13"/>
        <v>28.431000000000001</v>
      </c>
      <c r="I111" s="5">
        <f t="shared" si="14"/>
        <v>85.293000000000006</v>
      </c>
      <c r="J111" s="4">
        <f t="shared" si="10"/>
        <v>6.66</v>
      </c>
      <c r="K111" s="4">
        <f t="shared" si="17"/>
        <v>6.66</v>
      </c>
      <c r="L111">
        <f>ROW()</f>
        <v>111</v>
      </c>
      <c r="M111">
        <f t="shared" ca="1" si="12"/>
        <v>0.98672256505019873</v>
      </c>
      <c r="N111">
        <f t="shared" si="15"/>
        <v>0</v>
      </c>
      <c r="O111">
        <v>-37.341344065761064</v>
      </c>
      <c r="P111">
        <f t="shared" si="16"/>
        <v>37.341344065761064</v>
      </c>
    </row>
    <row r="112" spans="1:16" x14ac:dyDescent="0.3">
      <c r="A112" s="7">
        <v>3</v>
      </c>
      <c r="B112" s="7">
        <v>1</v>
      </c>
      <c r="C112">
        <v>3</v>
      </c>
      <c r="D112">
        <v>2</v>
      </c>
      <c r="E112" s="4">
        <v>5.78</v>
      </c>
      <c r="F112" s="7">
        <v>33</v>
      </c>
      <c r="G112" s="4">
        <f t="shared" si="9"/>
        <v>11.56</v>
      </c>
      <c r="H112" s="5">
        <f t="shared" si="13"/>
        <v>37.542000000000002</v>
      </c>
      <c r="I112" s="5">
        <f t="shared" si="14"/>
        <v>112.626</v>
      </c>
      <c r="J112" s="4">
        <f t="shared" si="10"/>
        <v>11.56</v>
      </c>
      <c r="K112" s="4">
        <f t="shared" si="17"/>
        <v>11.56</v>
      </c>
      <c r="L112">
        <f>ROW()</f>
        <v>112</v>
      </c>
      <c r="M112">
        <f t="shared" ca="1" si="12"/>
        <v>0.12608844762885496</v>
      </c>
      <c r="N112">
        <f t="shared" si="15"/>
        <v>28.408500000000011</v>
      </c>
      <c r="O112">
        <v>12.791681532336383</v>
      </c>
      <c r="P112">
        <f t="shared" si="16"/>
        <v>15.616818467663627</v>
      </c>
    </row>
    <row r="113" spans="1:16" x14ac:dyDescent="0.3">
      <c r="A113" s="7">
        <v>4</v>
      </c>
      <c r="B113" s="7">
        <v>4</v>
      </c>
      <c r="C113">
        <v>5</v>
      </c>
      <c r="D113">
        <v>4</v>
      </c>
      <c r="E113" s="4">
        <v>2.88</v>
      </c>
      <c r="F113" s="7">
        <v>30</v>
      </c>
      <c r="G113" s="4">
        <f t="shared" si="9"/>
        <v>11.52</v>
      </c>
      <c r="H113" s="5">
        <f t="shared" si="13"/>
        <v>34.727999999999994</v>
      </c>
      <c r="I113" s="5">
        <f t="shared" si="14"/>
        <v>138.91199999999998</v>
      </c>
      <c r="J113" s="4">
        <f t="shared" si="10"/>
        <v>11.52</v>
      </c>
      <c r="K113" s="4">
        <f t="shared" si="17"/>
        <v>11.52</v>
      </c>
      <c r="L113">
        <f>ROW()</f>
        <v>113</v>
      </c>
      <c r="M113">
        <f t="shared" ca="1" si="12"/>
        <v>0.55283354255209638</v>
      </c>
      <c r="N113">
        <f t="shared" si="15"/>
        <v>87.55199999999995</v>
      </c>
      <c r="O113">
        <v>49.816272941897523</v>
      </c>
      <c r="P113">
        <f t="shared" si="16"/>
        <v>37.735727058102427</v>
      </c>
    </row>
    <row r="114" spans="1:16" x14ac:dyDescent="0.3">
      <c r="A114" s="7">
        <v>5</v>
      </c>
      <c r="B114" s="7">
        <v>3</v>
      </c>
      <c r="C114">
        <v>9</v>
      </c>
      <c r="D114">
        <v>1</v>
      </c>
      <c r="E114" s="4">
        <v>6.17</v>
      </c>
      <c r="F114" s="7">
        <v>31</v>
      </c>
      <c r="G114" s="4">
        <f t="shared" si="9"/>
        <v>6.17</v>
      </c>
      <c r="H114" s="5">
        <f t="shared" si="13"/>
        <v>30.548399999999997</v>
      </c>
      <c r="I114" s="5">
        <f t="shared" si="14"/>
        <v>152.74199999999999</v>
      </c>
      <c r="J114" s="4">
        <f t="shared" si="10"/>
        <v>6.17</v>
      </c>
      <c r="K114" s="4">
        <f t="shared" si="17"/>
        <v>6.17</v>
      </c>
      <c r="L114">
        <f>ROW()</f>
        <v>114</v>
      </c>
      <c r="M114">
        <f t="shared" ca="1" si="12"/>
        <v>0.53361215342815038</v>
      </c>
      <c r="N114">
        <f t="shared" si="15"/>
        <v>118.66949999999997</v>
      </c>
      <c r="O114">
        <v>153.29658402527866</v>
      </c>
      <c r="P114">
        <f t="shared" si="16"/>
        <v>34.627084025278691</v>
      </c>
    </row>
    <row r="115" spans="1:16" x14ac:dyDescent="0.3">
      <c r="A115" s="7">
        <v>2</v>
      </c>
      <c r="B115" s="7">
        <v>3</v>
      </c>
      <c r="C115">
        <v>3</v>
      </c>
      <c r="D115">
        <v>1</v>
      </c>
      <c r="E115" s="4">
        <v>2.64</v>
      </c>
      <c r="F115" s="7">
        <v>31</v>
      </c>
      <c r="G115" s="4">
        <f t="shared" si="9"/>
        <v>2.64</v>
      </c>
      <c r="H115" s="5">
        <f t="shared" si="13"/>
        <v>30.048000000000002</v>
      </c>
      <c r="I115" s="5">
        <f t="shared" si="14"/>
        <v>60.096000000000004</v>
      </c>
      <c r="J115" s="4">
        <f t="shared" si="10"/>
        <v>2.64</v>
      </c>
      <c r="K115" s="4">
        <f t="shared" si="17"/>
        <v>2.64</v>
      </c>
      <c r="L115">
        <f>ROW()</f>
        <v>115</v>
      </c>
      <c r="M115">
        <f t="shared" ca="1" si="12"/>
        <v>1.5707923661261725E-2</v>
      </c>
      <c r="N115">
        <f t="shared" si="15"/>
        <v>0</v>
      </c>
      <c r="O115">
        <v>-92.77404240675304</v>
      </c>
      <c r="P115">
        <f t="shared" si="16"/>
        <v>92.77404240675304</v>
      </c>
    </row>
    <row r="116" spans="1:16" x14ac:dyDescent="0.3">
      <c r="A116" s="7">
        <v>6</v>
      </c>
      <c r="B116" s="7">
        <v>4</v>
      </c>
      <c r="C116">
        <v>8</v>
      </c>
      <c r="D116">
        <v>5</v>
      </c>
      <c r="E116" s="4">
        <v>7.47</v>
      </c>
      <c r="F116" s="7">
        <v>30</v>
      </c>
      <c r="G116" s="4">
        <f t="shared" si="9"/>
        <v>37.35</v>
      </c>
      <c r="H116" s="5">
        <f t="shared" si="13"/>
        <v>55.462500000000006</v>
      </c>
      <c r="I116" s="5">
        <f t="shared" si="14"/>
        <v>332.77500000000003</v>
      </c>
      <c r="J116" s="4">
        <f t="shared" si="10"/>
        <v>37.35</v>
      </c>
      <c r="K116" s="4">
        <f t="shared" si="17"/>
        <v>37.35</v>
      </c>
      <c r="L116">
        <f>ROW()</f>
        <v>116</v>
      </c>
      <c r="M116">
        <f t="shared" ca="1" si="12"/>
        <v>0.58841239226765041</v>
      </c>
      <c r="N116">
        <f t="shared" si="15"/>
        <v>822.48750000000018</v>
      </c>
      <c r="O116">
        <v>785.95712695909447</v>
      </c>
      <c r="P116">
        <f t="shared" si="16"/>
        <v>36.530373040905715</v>
      </c>
    </row>
    <row r="117" spans="1:16" x14ac:dyDescent="0.3">
      <c r="A117" s="7">
        <v>6</v>
      </c>
      <c r="B117" s="7">
        <v>1</v>
      </c>
      <c r="C117">
        <v>4</v>
      </c>
      <c r="D117">
        <v>3</v>
      </c>
      <c r="E117" s="4">
        <v>8.9700000000000006</v>
      </c>
      <c r="F117" s="7">
        <v>30</v>
      </c>
      <c r="G117" s="4">
        <f t="shared" si="9"/>
        <v>26.910000000000004</v>
      </c>
      <c r="H117" s="5">
        <f t="shared" si="13"/>
        <v>39.518000000000001</v>
      </c>
      <c r="I117" s="5">
        <f t="shared" si="14"/>
        <v>237.108</v>
      </c>
      <c r="J117" s="4">
        <f t="shared" si="10"/>
        <v>26.910000000000004</v>
      </c>
      <c r="K117" s="4">
        <f t="shared" si="17"/>
        <v>26.910000000000004</v>
      </c>
      <c r="L117">
        <f>ROW()</f>
        <v>117</v>
      </c>
      <c r="M117">
        <f t="shared" ca="1" si="12"/>
        <v>0.4824328601637784</v>
      </c>
      <c r="N117">
        <f t="shared" si="15"/>
        <v>391.98599999999999</v>
      </c>
      <c r="O117">
        <v>396.49251561439007</v>
      </c>
      <c r="P117">
        <f t="shared" si="16"/>
        <v>4.5065156143900822</v>
      </c>
    </row>
    <row r="118" spans="1:16" x14ac:dyDescent="0.3">
      <c r="A118" s="7">
        <v>2</v>
      </c>
      <c r="B118" s="7">
        <v>1</v>
      </c>
      <c r="C118">
        <v>5</v>
      </c>
      <c r="D118">
        <v>5</v>
      </c>
      <c r="E118" s="4">
        <v>9.26</v>
      </c>
      <c r="F118" s="7">
        <v>28</v>
      </c>
      <c r="G118" s="4">
        <f t="shared" si="9"/>
        <v>46.3</v>
      </c>
      <c r="H118" s="5">
        <f t="shared" si="13"/>
        <v>133.52799999999999</v>
      </c>
      <c r="I118" s="5">
        <f t="shared" si="14"/>
        <v>267.05599999999998</v>
      </c>
      <c r="J118" s="4">
        <f t="shared" si="10"/>
        <v>46.3</v>
      </c>
      <c r="K118" s="4">
        <f t="shared" si="17"/>
        <v>46.3</v>
      </c>
      <c r="L118">
        <f>ROW()</f>
        <v>118</v>
      </c>
      <c r="M118">
        <f t="shared" ca="1" si="12"/>
        <v>7.5745564377919239E-2</v>
      </c>
      <c r="N118">
        <f t="shared" si="15"/>
        <v>526.75199999999995</v>
      </c>
      <c r="O118">
        <v>562.51822831487493</v>
      </c>
      <c r="P118">
        <f t="shared" si="16"/>
        <v>35.766228314874979</v>
      </c>
    </row>
    <row r="119" spans="1:16" x14ac:dyDescent="0.3">
      <c r="A119" s="7">
        <v>4</v>
      </c>
      <c r="B119" s="7">
        <v>1</v>
      </c>
      <c r="C119">
        <v>2</v>
      </c>
      <c r="D119">
        <v>2</v>
      </c>
      <c r="E119" s="4">
        <v>10.29</v>
      </c>
      <c r="F119" s="7">
        <v>36</v>
      </c>
      <c r="G119" s="4">
        <f t="shared" si="9"/>
        <v>20.58</v>
      </c>
      <c r="H119" s="5">
        <f t="shared" si="13"/>
        <v>44.583749999999995</v>
      </c>
      <c r="I119" s="5">
        <f t="shared" si="14"/>
        <v>178.33499999999998</v>
      </c>
      <c r="J119" s="4">
        <f t="shared" si="10"/>
        <v>20.58</v>
      </c>
      <c r="K119" s="4">
        <f t="shared" si="17"/>
        <v>20.58</v>
      </c>
      <c r="L119">
        <f>ROW()</f>
        <v>119</v>
      </c>
      <c r="M119">
        <f t="shared" ca="1" si="12"/>
        <v>0.60962719887740102</v>
      </c>
      <c r="N119">
        <f t="shared" si="15"/>
        <v>176.25374999999997</v>
      </c>
      <c r="O119">
        <v>142.12025909099066</v>
      </c>
      <c r="P119">
        <f t="shared" si="16"/>
        <v>34.133490909009311</v>
      </c>
    </row>
    <row r="120" spans="1:16" x14ac:dyDescent="0.3">
      <c r="A120" s="7">
        <v>6</v>
      </c>
      <c r="B120" s="7">
        <v>1</v>
      </c>
      <c r="C120">
        <v>8</v>
      </c>
      <c r="D120">
        <v>1</v>
      </c>
      <c r="E120" s="4">
        <v>4.6900000000000004</v>
      </c>
      <c r="F120" s="7">
        <v>32</v>
      </c>
      <c r="G120" s="4">
        <f t="shared" si="9"/>
        <v>4.6900000000000004</v>
      </c>
      <c r="H120" s="5">
        <f t="shared" si="13"/>
        <v>21.409666666666666</v>
      </c>
      <c r="I120" s="5">
        <f t="shared" si="14"/>
        <v>128.458</v>
      </c>
      <c r="J120" s="4">
        <f t="shared" si="10"/>
        <v>4.6900000000000004</v>
      </c>
      <c r="K120" s="4">
        <f t="shared" si="17"/>
        <v>4.6900000000000004</v>
      </c>
      <c r="L120">
        <f>ROW()</f>
        <v>120</v>
      </c>
      <c r="M120">
        <f t="shared" ca="1" si="12"/>
        <v>0.37516335540641588</v>
      </c>
      <c r="N120">
        <f t="shared" si="15"/>
        <v>64.030499999999989</v>
      </c>
      <c r="O120">
        <v>98.438449003791902</v>
      </c>
      <c r="P120">
        <f t="shared" si="16"/>
        <v>34.407949003791913</v>
      </c>
    </row>
    <row r="121" spans="1:16" ht="15" thickBot="1" x14ac:dyDescent="0.35">
      <c r="A121" s="7">
        <v>2</v>
      </c>
      <c r="B121" s="7">
        <v>1</v>
      </c>
      <c r="C121">
        <v>7</v>
      </c>
      <c r="D121">
        <v>5</v>
      </c>
      <c r="E121" s="4">
        <v>2.83</v>
      </c>
      <c r="F121" s="7">
        <v>35</v>
      </c>
      <c r="G121" s="4">
        <f t="shared" si="9"/>
        <v>14.15</v>
      </c>
      <c r="H121" s="5">
        <f t="shared" si="13"/>
        <v>51.790000000000006</v>
      </c>
      <c r="I121" s="5">
        <f t="shared" si="14"/>
        <v>103.58000000000001</v>
      </c>
      <c r="J121" s="4">
        <f t="shared" si="10"/>
        <v>14.15</v>
      </c>
      <c r="K121" s="4">
        <f t="shared" si="17"/>
        <v>14.15</v>
      </c>
      <c r="L121">
        <f>ROW()</f>
        <v>121</v>
      </c>
      <c r="M121">
        <f t="shared" ca="1" si="12"/>
        <v>0.95855361696128749</v>
      </c>
      <c r="N121">
        <f t="shared" si="15"/>
        <v>8.0550000000000281</v>
      </c>
      <c r="O121" s="8">
        <v>-68.861190465077357</v>
      </c>
      <c r="P121">
        <f t="shared" si="16"/>
        <v>76.916190465077392</v>
      </c>
    </row>
    <row r="122" spans="1:16" x14ac:dyDescent="0.3">
      <c r="H122" s="5"/>
      <c r="I122" s="5"/>
      <c r="N122">
        <f t="shared" si="15"/>
        <v>0</v>
      </c>
    </row>
    <row r="123" spans="1:16" x14ac:dyDescent="0.3">
      <c r="N123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mamthah2000@outlook.com</dc:creator>
  <cp:lastModifiedBy>mamthah2000@outlook.com</cp:lastModifiedBy>
  <dcterms:created xsi:type="dcterms:W3CDTF">2025-12-12T08:22:40Z</dcterms:created>
  <dcterms:modified xsi:type="dcterms:W3CDTF">2025-12-27T13:12:24Z</dcterms:modified>
</cp:coreProperties>
</file>